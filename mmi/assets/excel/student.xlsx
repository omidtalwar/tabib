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0" yWindow="0" windowWidth="16380" windowHeight="8190" tabRatio="500" firstSheet="7" activeTab="12"/>
  </bookViews>
  <sheets>
    <sheet name="اسلامیات" sheetId="1" r:id="rId1"/>
    <sheet name="عمومي ترمینالوژی" sheetId="2" r:id="rId2"/>
    <sheet name="طبي انګلیسي" sheetId="3" r:id="rId3"/>
    <sheet name="مورفولوژی" sheetId="4" r:id="rId4"/>
    <sheet name="سامان پیژندنه" sheetId="5" r:id="rId5"/>
    <sheet name="اختصاصي لابراتوار" sheetId="6" r:id="rId6"/>
    <sheet name="اختصاصي ترمینالوژی" sheetId="7" r:id="rId7"/>
    <sheet name="پتالوژی" sheetId="8" r:id="rId8"/>
    <sheet name="اناټومي فزیالوژی" sheetId="9" r:id="rId9"/>
    <sheet name="متحرک پروتیز" sheetId="10" r:id="rId10"/>
    <sheet name="مایکروبیولوژی" sheetId="11" r:id="rId11"/>
    <sheet name="PHC" sheetId="12" r:id="rId12"/>
    <sheet name="نتایج" sheetId="13" r:id="rId13"/>
    <sheet name="فلتر شوی" sheetId="14" r:id="rId14"/>
  </sheets>
  <definedNames>
    <definedName name="_xlnm._FilterDatabase" localSheetId="13" hidden="1">'فلتر شوی'!$A$10:$S$10</definedName>
    <definedName name="_xlnm.Print_Titles" localSheetId="11">PHC!$1:$5</definedName>
    <definedName name="_xlnm.Print_Titles" localSheetId="6">'اختصاصي ترمینالوژی'!$1:$5</definedName>
    <definedName name="_xlnm.Print_Titles" localSheetId="5">'اختصاصي لابراتوار'!$1:$5</definedName>
    <definedName name="_xlnm.Print_Titles" localSheetId="0">اسلامیات!$1:$5</definedName>
    <definedName name="_xlnm.Print_Titles" localSheetId="8">'اناټومي فزیالوژی'!$1:$5</definedName>
    <definedName name="_xlnm.Print_Titles" localSheetId="7">پتالوژی!$1:$5</definedName>
    <definedName name="_xlnm.Print_Titles" localSheetId="4">'سامان پیژندنه'!$1:$5</definedName>
    <definedName name="_xlnm.Print_Titles" localSheetId="2">'طبي انګلیسي'!$1:$5</definedName>
    <definedName name="_xlnm.Print_Titles" localSheetId="1">'عمومي ترمینالوژی'!$1:$5</definedName>
    <definedName name="_xlnm.Print_Titles" localSheetId="13">'فلتر شوی'!$1:$9</definedName>
    <definedName name="_xlnm.Print_Titles" localSheetId="10">مایکروبیولوژی!$1:$5</definedName>
    <definedName name="_xlnm.Print_Titles" localSheetId="9">'متحرک پروتیز'!$1:$5</definedName>
    <definedName name="_xlnm.Print_Titles" localSheetId="3">مورفولوژی!$1:$5</definedName>
    <definedName name="_xlnm.Print_Titles" localSheetId="12">نتایج!$1:$9</definedName>
  </definedName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P48" i="14" l="1"/>
  <c r="O48" i="14"/>
  <c r="N48" i="14"/>
  <c r="M48" i="14"/>
  <c r="L48" i="14"/>
  <c r="K48" i="14"/>
  <c r="J48" i="14"/>
  <c r="I48" i="14"/>
  <c r="H48" i="14"/>
  <c r="G48" i="14"/>
  <c r="F48" i="14"/>
  <c r="E48" i="14"/>
  <c r="P47" i="14"/>
  <c r="O47" i="14"/>
  <c r="N47" i="14"/>
  <c r="M47" i="14"/>
  <c r="L47" i="14"/>
  <c r="K47" i="14"/>
  <c r="J47" i="14"/>
  <c r="I47" i="14"/>
  <c r="H47" i="14"/>
  <c r="G47" i="14"/>
  <c r="F47" i="14"/>
  <c r="D47" i="14" s="1"/>
  <c r="C47" i="14" s="1"/>
  <c r="E47" i="14"/>
  <c r="P46" i="14"/>
  <c r="O46" i="14"/>
  <c r="N46" i="14"/>
  <c r="M46" i="14"/>
  <c r="L46" i="14"/>
  <c r="K46" i="14"/>
  <c r="J46" i="14"/>
  <c r="I46" i="14"/>
  <c r="H46" i="14"/>
  <c r="G46" i="14"/>
  <c r="F46" i="14"/>
  <c r="E46" i="14"/>
  <c r="P45" i="14"/>
  <c r="O45" i="14"/>
  <c r="N45" i="14"/>
  <c r="M45" i="14"/>
  <c r="L45" i="14"/>
  <c r="K45" i="14"/>
  <c r="J45" i="14"/>
  <c r="I45" i="14"/>
  <c r="H45" i="14"/>
  <c r="G45" i="14"/>
  <c r="F45" i="14"/>
  <c r="D45" i="14" s="1"/>
  <c r="C45" i="14" s="1"/>
  <c r="E45" i="14"/>
  <c r="P44" i="14"/>
  <c r="O44" i="14"/>
  <c r="N44" i="14"/>
  <c r="M44" i="14"/>
  <c r="L44" i="14"/>
  <c r="K44" i="14"/>
  <c r="J44" i="14"/>
  <c r="I44" i="14"/>
  <c r="H44" i="14"/>
  <c r="G44" i="14"/>
  <c r="F44" i="14"/>
  <c r="E44" i="14"/>
  <c r="P43" i="14"/>
  <c r="O43" i="14"/>
  <c r="N43" i="14"/>
  <c r="M43" i="14"/>
  <c r="L43" i="14"/>
  <c r="K43" i="14"/>
  <c r="J43" i="14"/>
  <c r="I43" i="14"/>
  <c r="H43" i="14"/>
  <c r="G43" i="14"/>
  <c r="F43" i="14"/>
  <c r="E43" i="14"/>
  <c r="P42" i="14"/>
  <c r="O42" i="14"/>
  <c r="N42" i="14"/>
  <c r="M42" i="14"/>
  <c r="L42" i="14"/>
  <c r="K42" i="14"/>
  <c r="J42" i="14"/>
  <c r="I42" i="14"/>
  <c r="H42" i="14"/>
  <c r="G42" i="14"/>
  <c r="F42" i="14"/>
  <c r="E42" i="14"/>
  <c r="P41" i="14"/>
  <c r="O41" i="14"/>
  <c r="N41" i="14"/>
  <c r="M41" i="14"/>
  <c r="L41" i="14"/>
  <c r="K41" i="14"/>
  <c r="J41" i="14"/>
  <c r="I41" i="14"/>
  <c r="H41" i="14"/>
  <c r="G41" i="14"/>
  <c r="F41" i="14"/>
  <c r="E41" i="14"/>
  <c r="D41" i="14" s="1"/>
  <c r="C41" i="14" s="1"/>
  <c r="P40" i="14"/>
  <c r="O40" i="14"/>
  <c r="N40" i="14"/>
  <c r="M40" i="14"/>
  <c r="L40" i="14"/>
  <c r="K40" i="14"/>
  <c r="J40" i="14"/>
  <c r="I40" i="14"/>
  <c r="H40" i="14"/>
  <c r="G40" i="14"/>
  <c r="F40" i="14"/>
  <c r="E40" i="14"/>
  <c r="P39" i="14"/>
  <c r="O39" i="14"/>
  <c r="N39" i="14"/>
  <c r="M39" i="14"/>
  <c r="L39" i="14"/>
  <c r="K39" i="14"/>
  <c r="J39" i="14"/>
  <c r="I39" i="14"/>
  <c r="H39" i="14"/>
  <c r="G39" i="14"/>
  <c r="F39" i="14"/>
  <c r="E39" i="14"/>
  <c r="P38" i="14"/>
  <c r="O38" i="14"/>
  <c r="N38" i="14"/>
  <c r="M38" i="14"/>
  <c r="L38" i="14"/>
  <c r="K38" i="14"/>
  <c r="J38" i="14"/>
  <c r="I38" i="14"/>
  <c r="H38" i="14"/>
  <c r="G38" i="14"/>
  <c r="F38" i="14"/>
  <c r="E38" i="14"/>
  <c r="P37" i="14"/>
  <c r="O37" i="14"/>
  <c r="N37" i="14"/>
  <c r="M37" i="14"/>
  <c r="L37" i="14"/>
  <c r="K37" i="14"/>
  <c r="J37" i="14"/>
  <c r="I37" i="14"/>
  <c r="H37" i="14"/>
  <c r="G37" i="14"/>
  <c r="F37" i="14"/>
  <c r="E37" i="14"/>
  <c r="D37" i="14"/>
  <c r="C37" i="14" s="1"/>
  <c r="P36" i="14"/>
  <c r="O36" i="14"/>
  <c r="N36" i="14"/>
  <c r="M36" i="14"/>
  <c r="L36" i="14"/>
  <c r="K36" i="14"/>
  <c r="J36" i="14"/>
  <c r="I36" i="14"/>
  <c r="H36" i="14"/>
  <c r="G36" i="14"/>
  <c r="F36" i="14"/>
  <c r="E36" i="14"/>
  <c r="D36" i="14" s="1"/>
  <c r="C36" i="14" s="1"/>
  <c r="P35" i="14"/>
  <c r="O35" i="14"/>
  <c r="N35" i="14"/>
  <c r="M35" i="14"/>
  <c r="L35" i="14"/>
  <c r="K35" i="14"/>
  <c r="J35" i="14"/>
  <c r="I35" i="14"/>
  <c r="H35" i="14"/>
  <c r="G35" i="14"/>
  <c r="F35" i="14"/>
  <c r="E35" i="14"/>
  <c r="D35" i="14" s="1"/>
  <c r="C35" i="14" s="1"/>
  <c r="P32" i="14"/>
  <c r="O32" i="14"/>
  <c r="N32" i="14"/>
  <c r="M32" i="14"/>
  <c r="L32" i="14"/>
  <c r="K32" i="14"/>
  <c r="J32" i="14"/>
  <c r="I32" i="14"/>
  <c r="H32" i="14"/>
  <c r="G32" i="14"/>
  <c r="F32" i="14"/>
  <c r="E32" i="14"/>
  <c r="D32" i="14" s="1"/>
  <c r="C32" i="14" s="1"/>
  <c r="P30" i="14"/>
  <c r="O30" i="14"/>
  <c r="N30" i="14"/>
  <c r="M30" i="14"/>
  <c r="L30" i="14"/>
  <c r="K30" i="14"/>
  <c r="J30" i="14"/>
  <c r="I30" i="14"/>
  <c r="H30" i="14"/>
  <c r="G30" i="14"/>
  <c r="F30" i="14"/>
  <c r="E30" i="14"/>
  <c r="D30" i="14"/>
  <c r="C30" i="14" s="1"/>
  <c r="L29" i="14"/>
  <c r="P23" i="14"/>
  <c r="H23" i="14"/>
  <c r="P21" i="14"/>
  <c r="O21" i="14"/>
  <c r="N21" i="14"/>
  <c r="M21" i="14"/>
  <c r="L21" i="14"/>
  <c r="K21" i="14"/>
  <c r="J21" i="14"/>
  <c r="I21" i="14"/>
  <c r="H21" i="14"/>
  <c r="G21" i="14"/>
  <c r="F21" i="14"/>
  <c r="E21" i="14"/>
  <c r="D21" i="14"/>
  <c r="C21" i="14" s="1"/>
  <c r="P20" i="14"/>
  <c r="O20" i="14"/>
  <c r="N20" i="14"/>
  <c r="M20" i="14"/>
  <c r="L20" i="14"/>
  <c r="K20" i="14"/>
  <c r="J20" i="14"/>
  <c r="I20" i="14"/>
  <c r="H20" i="14"/>
  <c r="G20" i="14"/>
  <c r="F20" i="14"/>
  <c r="E20" i="14"/>
  <c r="D20" i="14" s="1"/>
  <c r="C20" i="14" s="1"/>
  <c r="F18" i="14"/>
  <c r="P16" i="14"/>
  <c r="O16" i="14"/>
  <c r="N16" i="14"/>
  <c r="M16" i="14"/>
  <c r="L16" i="14"/>
  <c r="K16" i="14"/>
  <c r="J16" i="14"/>
  <c r="I16" i="14"/>
  <c r="H16" i="14"/>
  <c r="G16" i="14"/>
  <c r="F16" i="14"/>
  <c r="E16" i="14"/>
  <c r="D16" i="14" s="1"/>
  <c r="C16" i="14" s="1"/>
  <c r="F14" i="14"/>
  <c r="L13" i="14"/>
  <c r="P11" i="14"/>
  <c r="O11" i="14"/>
  <c r="N11" i="14"/>
  <c r="M11" i="14"/>
  <c r="L11" i="14"/>
  <c r="K11" i="14"/>
  <c r="J11" i="14"/>
  <c r="I11" i="14"/>
  <c r="H11" i="14"/>
  <c r="G11" i="14"/>
  <c r="F11" i="14"/>
  <c r="E11" i="14"/>
  <c r="D11" i="14"/>
  <c r="C11" i="14"/>
  <c r="L30" i="12"/>
  <c r="L29" i="12"/>
  <c r="E33" i="14" s="1"/>
  <c r="L28" i="12"/>
  <c r="L27" i="12"/>
  <c r="E31" i="14" s="1"/>
  <c r="L26" i="12"/>
  <c r="E17" i="14" s="1"/>
  <c r="L25" i="12"/>
  <c r="E12" i="14" s="1"/>
  <c r="L24" i="12"/>
  <c r="E29" i="14" s="1"/>
  <c r="L23" i="12"/>
  <c r="E28" i="14" s="1"/>
  <c r="L22" i="12"/>
  <c r="E27" i="14" s="1"/>
  <c r="L21" i="12"/>
  <c r="L20" i="12"/>
  <c r="L19" i="12"/>
  <c r="E25" i="14" s="1"/>
  <c r="L18" i="12"/>
  <c r="E22" i="14" s="1"/>
  <c r="L17" i="12"/>
  <c r="E15" i="14" s="1"/>
  <c r="L16" i="12"/>
  <c r="E13" i="14" s="1"/>
  <c r="L15" i="12"/>
  <c r="E19" i="14" s="1"/>
  <c r="L14" i="12"/>
  <c r="E24" i="14" s="1"/>
  <c r="L13" i="12"/>
  <c r="E23" i="14" s="1"/>
  <c r="L30" i="11"/>
  <c r="L29" i="11"/>
  <c r="L28" i="11"/>
  <c r="L27" i="11"/>
  <c r="F31" i="14" s="1"/>
  <c r="L26" i="11"/>
  <c r="L25" i="11"/>
  <c r="F12" i="14" s="1"/>
  <c r="L24" i="11"/>
  <c r="L23" i="11"/>
  <c r="F28" i="14" s="1"/>
  <c r="L22" i="11"/>
  <c r="L21" i="11"/>
  <c r="L20" i="11"/>
  <c r="L19" i="11"/>
  <c r="F25" i="14" s="1"/>
  <c r="L18" i="11"/>
  <c r="L17" i="11"/>
  <c r="F15" i="14" s="1"/>
  <c r="L16" i="11"/>
  <c r="F13" i="14" s="1"/>
  <c r="L15" i="11"/>
  <c r="F19" i="14" s="1"/>
  <c r="L14" i="11"/>
  <c r="L13" i="11"/>
  <c r="F23" i="14" s="1"/>
  <c r="L30" i="10"/>
  <c r="G34" i="14" s="1"/>
  <c r="L29" i="10"/>
  <c r="L28" i="10"/>
  <c r="G18" i="14" s="1"/>
  <c r="L27" i="10"/>
  <c r="L26" i="10"/>
  <c r="L25" i="10"/>
  <c r="G12" i="14" s="1"/>
  <c r="L24" i="10"/>
  <c r="L23" i="10"/>
  <c r="G28" i="14" s="1"/>
  <c r="L22" i="10"/>
  <c r="L21" i="10"/>
  <c r="G26" i="14" s="1"/>
  <c r="L20" i="10"/>
  <c r="G14" i="14" s="1"/>
  <c r="L19" i="10"/>
  <c r="G25" i="14" s="1"/>
  <c r="L18" i="10"/>
  <c r="L17" i="10"/>
  <c r="G15" i="14" s="1"/>
  <c r="L16" i="10"/>
  <c r="L15" i="10"/>
  <c r="G19" i="14" s="1"/>
  <c r="L14" i="10"/>
  <c r="G24" i="14" s="1"/>
  <c r="L13" i="10"/>
  <c r="G23" i="14" s="1"/>
  <c r="L30" i="9"/>
  <c r="L29" i="9"/>
  <c r="L28" i="9"/>
  <c r="H18" i="14" s="1"/>
  <c r="L27" i="9"/>
  <c r="L26" i="9"/>
  <c r="L25" i="9"/>
  <c r="H12" i="14" s="1"/>
  <c r="L24" i="9"/>
  <c r="L23" i="9"/>
  <c r="H28" i="14" s="1"/>
  <c r="L22" i="9"/>
  <c r="L21" i="9"/>
  <c r="H26" i="14" s="1"/>
  <c r="L20" i="9"/>
  <c r="H14" i="14" s="1"/>
  <c r="L19" i="9"/>
  <c r="H25" i="14" s="1"/>
  <c r="L18" i="9"/>
  <c r="L17" i="9"/>
  <c r="H15" i="14" s="1"/>
  <c r="L16" i="9"/>
  <c r="H13" i="14" s="1"/>
  <c r="L15" i="9"/>
  <c r="L14" i="9"/>
  <c r="H24" i="14" s="1"/>
  <c r="L13" i="9"/>
  <c r="L30" i="8"/>
  <c r="L29" i="8"/>
  <c r="I33" i="14" s="1"/>
  <c r="L28" i="8"/>
  <c r="L27" i="8"/>
  <c r="L26" i="8"/>
  <c r="I17" i="14" s="1"/>
  <c r="L25" i="8"/>
  <c r="L24" i="8"/>
  <c r="I29" i="14" s="1"/>
  <c r="L23" i="8"/>
  <c r="L22" i="8"/>
  <c r="I27" i="14" s="1"/>
  <c r="L21" i="8"/>
  <c r="I26" i="14" s="1"/>
  <c r="L20" i="8"/>
  <c r="L19" i="8"/>
  <c r="I25" i="14" s="1"/>
  <c r="L18" i="8"/>
  <c r="I22" i="14" s="1"/>
  <c r="L17" i="8"/>
  <c r="I15" i="14" s="1"/>
  <c r="L16" i="8"/>
  <c r="I13" i="14" s="1"/>
  <c r="L15" i="8"/>
  <c r="L14" i="8"/>
  <c r="I24" i="14" s="1"/>
  <c r="L13" i="8"/>
  <c r="I23" i="14" s="1"/>
  <c r="L30" i="7"/>
  <c r="L29" i="7"/>
  <c r="J33" i="14" s="1"/>
  <c r="L28" i="7"/>
  <c r="J18" i="14" s="1"/>
  <c r="L27" i="7"/>
  <c r="L26" i="7"/>
  <c r="J17" i="14" s="1"/>
  <c r="L25" i="7"/>
  <c r="L24" i="7"/>
  <c r="J29" i="14" s="1"/>
  <c r="L23" i="7"/>
  <c r="L22" i="7"/>
  <c r="J27" i="14" s="1"/>
  <c r="L21" i="7"/>
  <c r="J26" i="14" s="1"/>
  <c r="L20" i="7"/>
  <c r="J14" i="14" s="1"/>
  <c r="L19" i="7"/>
  <c r="J25" i="14" s="1"/>
  <c r="L18" i="7"/>
  <c r="J22" i="14" s="1"/>
  <c r="L17" i="7"/>
  <c r="J15" i="14" s="1"/>
  <c r="L16" i="7"/>
  <c r="J13" i="14" s="1"/>
  <c r="L15" i="7"/>
  <c r="L14" i="7"/>
  <c r="J24" i="14" s="1"/>
  <c r="L13" i="7"/>
  <c r="J23" i="14" s="1"/>
  <c r="L30" i="6"/>
  <c r="K34" i="14" s="1"/>
  <c r="L29" i="6"/>
  <c r="L28" i="6"/>
  <c r="K18" i="14" s="1"/>
  <c r="L27" i="6"/>
  <c r="K31" i="14" s="1"/>
  <c r="L26" i="6"/>
  <c r="L25" i="6"/>
  <c r="K12" i="14" s="1"/>
  <c r="L24" i="6"/>
  <c r="L23" i="6"/>
  <c r="K28" i="14" s="1"/>
  <c r="L22" i="6"/>
  <c r="K27" i="14" s="1"/>
  <c r="L21" i="6"/>
  <c r="K26" i="14" s="1"/>
  <c r="L20" i="6"/>
  <c r="K14" i="14" s="1"/>
  <c r="L19" i="6"/>
  <c r="K25" i="14" s="1"/>
  <c r="L18" i="6"/>
  <c r="K22" i="14" s="1"/>
  <c r="L17" i="6"/>
  <c r="K15" i="14" s="1"/>
  <c r="L16" i="6"/>
  <c r="L15" i="6"/>
  <c r="K19" i="14" s="1"/>
  <c r="L14" i="6"/>
  <c r="K24" i="14" s="1"/>
  <c r="L13" i="6"/>
  <c r="K23" i="14" s="1"/>
  <c r="L30" i="5"/>
  <c r="L34" i="14" s="1"/>
  <c r="L29" i="5"/>
  <c r="L28" i="5"/>
  <c r="L18" i="14" s="1"/>
  <c r="L27" i="5"/>
  <c r="L31" i="14" s="1"/>
  <c r="L26" i="5"/>
  <c r="L25" i="5"/>
  <c r="L12" i="14" s="1"/>
  <c r="L24" i="5"/>
  <c r="L23" i="5"/>
  <c r="L28" i="14" s="1"/>
  <c r="L22" i="5"/>
  <c r="L27" i="14" s="1"/>
  <c r="L21" i="5"/>
  <c r="L26" i="14" s="1"/>
  <c r="L20" i="5"/>
  <c r="L14" i="14" s="1"/>
  <c r="L19" i="5"/>
  <c r="L25" i="14" s="1"/>
  <c r="L18" i="5"/>
  <c r="L17" i="5"/>
  <c r="L15" i="14" s="1"/>
  <c r="L16" i="5"/>
  <c r="L15" i="5"/>
  <c r="L19" i="14" s="1"/>
  <c r="L14" i="5"/>
  <c r="L24" i="14" s="1"/>
  <c r="L13" i="5"/>
  <c r="L23" i="14" s="1"/>
  <c r="L30" i="4"/>
  <c r="L29" i="4"/>
  <c r="L28" i="4"/>
  <c r="L27" i="4"/>
  <c r="M31" i="14" s="1"/>
  <c r="L26" i="4"/>
  <c r="L25" i="4"/>
  <c r="M12" i="14" s="1"/>
  <c r="L24" i="4"/>
  <c r="M29" i="14" s="1"/>
  <c r="L23" i="4"/>
  <c r="M28" i="14" s="1"/>
  <c r="L22" i="4"/>
  <c r="M27" i="14" s="1"/>
  <c r="L21" i="4"/>
  <c r="L20" i="4"/>
  <c r="L19" i="4"/>
  <c r="M25" i="14" s="1"/>
  <c r="L18" i="4"/>
  <c r="M22" i="14" s="1"/>
  <c r="L17" i="4"/>
  <c r="M15" i="14" s="1"/>
  <c r="L16" i="4"/>
  <c r="M13" i="14" s="1"/>
  <c r="L15" i="4"/>
  <c r="M19" i="14" s="1"/>
  <c r="L14" i="4"/>
  <c r="M24" i="14" s="1"/>
  <c r="L13" i="4"/>
  <c r="M23" i="14" s="1"/>
  <c r="L30" i="3"/>
  <c r="L29" i="3"/>
  <c r="L28" i="3"/>
  <c r="L27" i="3"/>
  <c r="N31" i="14" s="1"/>
  <c r="L26" i="3"/>
  <c r="L25" i="3"/>
  <c r="N12" i="14" s="1"/>
  <c r="L24" i="3"/>
  <c r="L23" i="3"/>
  <c r="N28" i="14" s="1"/>
  <c r="L22" i="3"/>
  <c r="L21" i="3"/>
  <c r="L20" i="3"/>
  <c r="N14" i="14" s="1"/>
  <c r="L19" i="3"/>
  <c r="N25" i="14" s="1"/>
  <c r="L18" i="3"/>
  <c r="L17" i="3"/>
  <c r="N15" i="14" s="1"/>
  <c r="L16" i="3"/>
  <c r="N13" i="14" s="1"/>
  <c r="L15" i="3"/>
  <c r="N19" i="14" s="1"/>
  <c r="L14" i="3"/>
  <c r="L13" i="3"/>
  <c r="N23" i="14" s="1"/>
  <c r="L30" i="2"/>
  <c r="L29" i="2"/>
  <c r="L28" i="2"/>
  <c r="O18" i="14" s="1"/>
  <c r="L27" i="2"/>
  <c r="L26" i="2"/>
  <c r="L25" i="2"/>
  <c r="O12" i="14" s="1"/>
  <c r="L24" i="2"/>
  <c r="L23" i="2"/>
  <c r="O28" i="14" s="1"/>
  <c r="L22" i="2"/>
  <c r="L21" i="2"/>
  <c r="O26" i="14" s="1"/>
  <c r="L20" i="2"/>
  <c r="O14" i="14" s="1"/>
  <c r="L19" i="2"/>
  <c r="O25" i="14" s="1"/>
  <c r="L18" i="2"/>
  <c r="L17" i="2"/>
  <c r="O15" i="14" s="1"/>
  <c r="L16" i="2"/>
  <c r="L15" i="2"/>
  <c r="O19" i="14" s="1"/>
  <c r="L14" i="2"/>
  <c r="O24" i="14" s="1"/>
  <c r="L13" i="2"/>
  <c r="O23" i="14" s="1"/>
  <c r="L30" i="1"/>
  <c r="L29" i="1"/>
  <c r="L28" i="1"/>
  <c r="P18" i="14" s="1"/>
  <c r="L27" i="1"/>
  <c r="L26" i="1"/>
  <c r="L25" i="1"/>
  <c r="P12" i="14" s="1"/>
  <c r="L24" i="1"/>
  <c r="L23" i="1"/>
  <c r="P28" i="14" s="1"/>
  <c r="L22" i="1"/>
  <c r="L21" i="1"/>
  <c r="P26" i="14" s="1"/>
  <c r="L20" i="1"/>
  <c r="P14" i="14" s="1"/>
  <c r="L19" i="1"/>
  <c r="P25" i="14" s="1"/>
  <c r="L18" i="1"/>
  <c r="L17" i="1"/>
  <c r="P15" i="14" s="1"/>
  <c r="L16" i="1"/>
  <c r="P13" i="14" s="1"/>
  <c r="L15" i="1"/>
  <c r="L14" i="1"/>
  <c r="P24" i="14" s="1"/>
  <c r="L13" i="1"/>
  <c r="D43" i="14" l="1"/>
  <c r="C43" i="14" s="1"/>
  <c r="N18" i="14"/>
  <c r="D40" i="14"/>
  <c r="C40" i="14" s="1"/>
  <c r="D25" i="14"/>
  <c r="C25" i="14" s="1"/>
  <c r="H19" i="14"/>
  <c r="F26" i="14"/>
  <c r="D38" i="14"/>
  <c r="C38" i="14" s="1"/>
  <c r="D44" i="14"/>
  <c r="C44" i="14" s="1"/>
  <c r="P19" i="14"/>
  <c r="N26" i="14"/>
  <c r="L33" i="14"/>
  <c r="D42" i="14"/>
  <c r="C42" i="14" s="1"/>
  <c r="D48" i="14"/>
  <c r="C48" i="14" s="1"/>
  <c r="H27" i="14"/>
  <c r="D46" i="14"/>
  <c r="C46" i="14" s="1"/>
  <c r="F22" i="14"/>
  <c r="P27" i="14"/>
  <c r="H31" i="14"/>
  <c r="J12" i="14"/>
  <c r="N22" i="14"/>
  <c r="J28" i="14"/>
  <c r="P31" i="14"/>
  <c r="D39" i="14"/>
  <c r="C39" i="14" s="1"/>
  <c r="O13" i="14"/>
  <c r="N34" i="14"/>
  <c r="G13" i="14"/>
  <c r="D13" i="14" s="1"/>
  <c r="C13" i="14" s="1"/>
  <c r="E14" i="14"/>
  <c r="M14" i="14"/>
  <c r="H22" i="14"/>
  <c r="P22" i="14"/>
  <c r="L22" i="14"/>
  <c r="I18" i="14"/>
  <c r="E18" i="14"/>
  <c r="K29" i="14"/>
  <c r="G29" i="14"/>
  <c r="O29" i="14"/>
  <c r="M18" i="14"/>
  <c r="I14" i="14"/>
  <c r="F34" i="14"/>
  <c r="D23" i="14"/>
  <c r="C23" i="14" s="1"/>
  <c r="L17" i="14"/>
  <c r="N24" i="14"/>
  <c r="K13" i="14"/>
  <c r="J34" i="14"/>
  <c r="F24" i="14"/>
  <c r="D15" i="14"/>
  <c r="C15" i="14" s="1"/>
  <c r="P17" i="14"/>
  <c r="N27" i="14"/>
  <c r="H17" i="14"/>
  <c r="F27" i="14"/>
  <c r="I12" i="14"/>
  <c r="D12" i="14" s="1"/>
  <c r="C12" i="14" s="1"/>
  <c r="K17" i="14"/>
  <c r="E26" i="14"/>
  <c r="M26" i="14"/>
  <c r="G27" i="14"/>
  <c r="O27" i="14"/>
  <c r="I28" i="14"/>
  <c r="D28" i="14" s="1"/>
  <c r="C28" i="14" s="1"/>
  <c r="G31" i="14"/>
  <c r="O31" i="14"/>
  <c r="K33" i="14"/>
  <c r="E34" i="14"/>
  <c r="M34" i="14"/>
  <c r="M17" i="14"/>
  <c r="I19" i="14"/>
  <c r="G22" i="14"/>
  <c r="D22" i="14" s="1"/>
  <c r="C22" i="14" s="1"/>
  <c r="O22" i="14"/>
  <c r="I31" i="14"/>
  <c r="M33" i="14"/>
  <c r="O34" i="14"/>
  <c r="F17" i="14"/>
  <c r="N17" i="14"/>
  <c r="J19" i="14"/>
  <c r="F29" i="14"/>
  <c r="N29" i="14"/>
  <c r="J31" i="14"/>
  <c r="F33" i="14"/>
  <c r="N33" i="14"/>
  <c r="H34" i="14"/>
  <c r="P34" i="14"/>
  <c r="G17" i="14"/>
  <c r="O17" i="14"/>
  <c r="G33" i="14"/>
  <c r="O33" i="14"/>
  <c r="I34" i="14"/>
  <c r="H29" i="14"/>
  <c r="P29" i="14"/>
  <c r="H33" i="14"/>
  <c r="P33" i="14"/>
  <c r="D19" i="14" l="1"/>
  <c r="C19" i="14" s="1"/>
  <c r="D29" i="14"/>
  <c r="C29" i="14" s="1"/>
  <c r="D31" i="14"/>
  <c r="C31" i="14" s="1"/>
  <c r="D27" i="14"/>
  <c r="C27" i="14" s="1"/>
  <c r="D17" i="14"/>
  <c r="C17" i="14" s="1"/>
  <c r="D33" i="14"/>
  <c r="C33" i="14" s="1"/>
  <c r="D24" i="14"/>
  <c r="C24" i="14" s="1"/>
  <c r="D18" i="14"/>
  <c r="C18" i="14" s="1"/>
  <c r="D34" i="14"/>
  <c r="C34" i="14" s="1"/>
  <c r="D26" i="14"/>
  <c r="C26" i="14" s="1"/>
  <c r="D14" i="14"/>
  <c r="C14" i="14" s="1"/>
</calcChain>
</file>

<file path=xl/sharedStrings.xml><?xml version="1.0" encoding="utf-8"?>
<sst xmlns="http://schemas.openxmlformats.org/spreadsheetml/2006/main" count="1261" uniqueCount="165">
  <si>
    <t>د عامی روغتیا وزارت</t>
  </si>
  <si>
    <t>د خصوصي روغتیايي علومو انستېتوتونو ریاست</t>
  </si>
  <si>
    <t xml:space="preserve">مومن د طبی علومو انستیتوت </t>
  </si>
  <si>
    <t>علمی او تحقیقاتی معاونیت</t>
  </si>
  <si>
    <t>تدریسي مدیریت</t>
  </si>
  <si>
    <t>ازموینو کمیټه</t>
  </si>
  <si>
    <r>
      <rPr>
        <sz val="11"/>
        <color theme="1"/>
        <rFont val="FreeSans"/>
        <family val="2"/>
      </rPr>
      <t>چانس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>لومړی</t>
    </r>
  </si>
  <si>
    <r>
      <rPr>
        <sz val="11"/>
        <color theme="1"/>
        <rFont val="FreeSans"/>
        <family val="2"/>
      </rPr>
      <t xml:space="preserve">وخت 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>۹بجی</t>
    </r>
  </si>
  <si>
    <r>
      <rPr>
        <sz val="11"/>
        <color theme="1"/>
        <rFont val="FreeSans"/>
        <family val="2"/>
      </rPr>
      <t>سمستر</t>
    </r>
    <r>
      <rPr>
        <sz val="11"/>
        <color theme="1"/>
        <rFont val="Calibri"/>
        <family val="2"/>
        <charset val="1"/>
      </rPr>
      <t>:</t>
    </r>
    <r>
      <rPr>
        <sz val="11"/>
        <color theme="1"/>
        <rFont val="FreeSans"/>
        <family val="2"/>
      </rPr>
      <t>لومړی بهاری</t>
    </r>
  </si>
  <si>
    <t>غاښونو پروتیز</t>
  </si>
  <si>
    <r>
      <rPr>
        <sz val="11"/>
        <color theme="1"/>
        <rFont val="FreeSans"/>
        <family val="2"/>
      </rPr>
      <t xml:space="preserve">څانګه </t>
    </r>
    <r>
      <rPr>
        <sz val="11"/>
        <color theme="1"/>
        <rFont val="Calibri"/>
        <family val="2"/>
        <charset val="1"/>
      </rPr>
      <t>:</t>
    </r>
  </si>
  <si>
    <t>1403/06/17</t>
  </si>
  <si>
    <r>
      <rPr>
        <sz val="11"/>
        <color theme="1"/>
        <rFont val="FreeSans"/>
        <family val="2"/>
      </rPr>
      <t xml:space="preserve">نیټه </t>
    </r>
    <r>
      <rPr>
        <sz val="11"/>
        <color theme="1"/>
        <rFont val="Calibri"/>
        <family val="2"/>
        <charset val="1"/>
      </rPr>
      <t>:</t>
    </r>
  </si>
  <si>
    <r>
      <rPr>
        <sz val="11"/>
        <color theme="1"/>
        <rFont val="FreeSans"/>
        <family val="2"/>
      </rPr>
      <t>ازموینه</t>
    </r>
    <r>
      <rPr>
        <sz val="11"/>
        <color theme="1"/>
        <rFont val="Calibri"/>
        <family val="2"/>
        <charset val="1"/>
      </rPr>
      <t>:</t>
    </r>
    <r>
      <rPr>
        <sz val="11"/>
        <color theme="1"/>
        <rFont val="FreeSans"/>
        <family val="2"/>
      </rPr>
      <t>نهايي</t>
    </r>
  </si>
  <si>
    <r>
      <rPr>
        <sz val="11"/>
        <color theme="1"/>
        <rFont val="FreeSans"/>
        <family val="2"/>
      </rPr>
      <t xml:space="preserve">استاد 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>مولوی مولاجان</t>
    </r>
  </si>
  <si>
    <r>
      <rPr>
        <sz val="11"/>
        <color theme="1"/>
        <rFont val="FreeSans"/>
        <family val="2"/>
      </rPr>
      <t xml:space="preserve">مضمون 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>اسلامی ثقافت</t>
    </r>
  </si>
  <si>
    <t>کتني</t>
  </si>
  <si>
    <t>مجموعه</t>
  </si>
  <si>
    <r>
      <rPr>
        <sz val="9"/>
        <color theme="1"/>
        <rFont val="Calibri"/>
        <family val="2"/>
        <charset val="1"/>
      </rPr>
      <t>60</t>
    </r>
    <r>
      <rPr>
        <sz val="9"/>
        <color theme="1"/>
        <rFont val="FreeSans"/>
        <family val="2"/>
      </rPr>
      <t>فیصده نمبری</t>
    </r>
  </si>
  <si>
    <r>
      <rPr>
        <sz val="9"/>
        <color theme="1"/>
        <rFont val="Calibri"/>
        <family val="2"/>
        <charset val="1"/>
      </rPr>
      <t>20</t>
    </r>
    <r>
      <rPr>
        <sz val="9"/>
        <color theme="1"/>
        <rFont val="FreeSans"/>
        <family val="2"/>
      </rPr>
      <t>فیصده نمبری</t>
    </r>
  </si>
  <si>
    <r>
      <rPr>
        <sz val="9"/>
        <color theme="1"/>
        <rFont val="FreeSans"/>
        <family val="2"/>
      </rPr>
      <t>حاضری</t>
    </r>
    <r>
      <rPr>
        <sz val="9"/>
        <color theme="1"/>
        <rFont val="Calibri"/>
        <family val="2"/>
        <charset val="1"/>
      </rPr>
      <t>/</t>
    </r>
    <r>
      <rPr>
        <sz val="9"/>
        <color theme="1"/>
        <rFont val="FreeSans"/>
        <family val="2"/>
      </rPr>
      <t>صنفي</t>
    </r>
  </si>
  <si>
    <t>پیژندنه</t>
  </si>
  <si>
    <t>ګڼه</t>
  </si>
  <si>
    <t>حروفی</t>
  </si>
  <si>
    <t>عددی</t>
  </si>
  <si>
    <t>د پلار نوم</t>
  </si>
  <si>
    <t>نوم</t>
  </si>
  <si>
    <t>اتیا</t>
  </si>
  <si>
    <t>هدایت الله</t>
  </si>
  <si>
    <t>نایب احمد</t>
  </si>
  <si>
    <t>حاجی نصیر</t>
  </si>
  <si>
    <t>عازی</t>
  </si>
  <si>
    <t>دوه نوي</t>
  </si>
  <si>
    <t>محمدقلم</t>
  </si>
  <si>
    <t>حضرت علی</t>
  </si>
  <si>
    <t>پنځه نوي</t>
  </si>
  <si>
    <t>خوانی</t>
  </si>
  <si>
    <t>وحید الله</t>
  </si>
  <si>
    <t>اته اتیا</t>
  </si>
  <si>
    <t>سربلند</t>
  </si>
  <si>
    <t>نعمت الله</t>
  </si>
  <si>
    <t>اوه اتیا</t>
  </si>
  <si>
    <t>جلاد خان</t>
  </si>
  <si>
    <t>ابراهیم</t>
  </si>
  <si>
    <t>پنځه اویا</t>
  </si>
  <si>
    <t>سیدالرحمن</t>
  </si>
  <si>
    <t>مطیع الرحمن</t>
  </si>
  <si>
    <t>څلور نوي</t>
  </si>
  <si>
    <t>صبرشاه</t>
  </si>
  <si>
    <t>عمران خان</t>
  </si>
  <si>
    <t>شپږ اتیا</t>
  </si>
  <si>
    <t>سید مصیر</t>
  </si>
  <si>
    <t>سیدحکمت الله</t>
  </si>
  <si>
    <t>اویا</t>
  </si>
  <si>
    <t>هجرت الله</t>
  </si>
  <si>
    <t xml:space="preserve">نصرت </t>
  </si>
  <si>
    <t>محمد امین</t>
  </si>
  <si>
    <t>سید امین</t>
  </si>
  <si>
    <t xml:space="preserve">شمشیر </t>
  </si>
  <si>
    <t>رحمن الله</t>
  </si>
  <si>
    <t>یو نوي</t>
  </si>
  <si>
    <t>عیاث الدین</t>
  </si>
  <si>
    <t>نثار احمد</t>
  </si>
  <si>
    <t>دوه اتیا</t>
  </si>
  <si>
    <t>امر الله</t>
  </si>
  <si>
    <t>حنیف الله</t>
  </si>
  <si>
    <t>درې اویا</t>
  </si>
  <si>
    <t>زبیر الله</t>
  </si>
  <si>
    <t>سلطان شاه</t>
  </si>
  <si>
    <t>شوکت الله</t>
  </si>
  <si>
    <t>وارث خان</t>
  </si>
  <si>
    <t>تحسین الله</t>
  </si>
  <si>
    <t>فضل هادی</t>
  </si>
  <si>
    <t xml:space="preserve">هلال </t>
  </si>
  <si>
    <t>پورتنۍ نمبري د ازمویني له پرچو څخه له قلم خوری پرته شقي ته رسیدلي درست دي</t>
  </si>
  <si>
    <t>ممیزلاسلیک</t>
  </si>
  <si>
    <t>ممتحن لاسلیک</t>
  </si>
  <si>
    <r>
      <rPr>
        <sz val="11"/>
        <color theme="1"/>
        <rFont val="FreeSans"/>
        <family val="2"/>
      </rPr>
      <t xml:space="preserve">استاد 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>اشرف زهیر</t>
    </r>
  </si>
  <si>
    <r>
      <rPr>
        <sz val="11"/>
        <color theme="1"/>
        <rFont val="FreeSans"/>
        <family val="2"/>
      </rPr>
      <t xml:space="preserve">مضمون 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طبی ترمینالوژی </t>
    </r>
  </si>
  <si>
    <t>شپږ اویا</t>
  </si>
  <si>
    <t>شپېته</t>
  </si>
  <si>
    <t>سل</t>
  </si>
  <si>
    <t>نوي</t>
  </si>
  <si>
    <t>اوه اویا</t>
  </si>
  <si>
    <t>څلور اتیا</t>
  </si>
  <si>
    <t>څلور اویا</t>
  </si>
  <si>
    <t>1403/06/14</t>
  </si>
  <si>
    <r>
      <rPr>
        <sz val="11"/>
        <color theme="1"/>
        <rFont val="FreeSans"/>
        <family val="2"/>
      </rPr>
      <t xml:space="preserve">استاد 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>عبادالله صمدزی</t>
    </r>
  </si>
  <si>
    <r>
      <rPr>
        <sz val="11"/>
        <color theme="1"/>
        <rFont val="FreeSans"/>
        <family val="2"/>
      </rPr>
      <t xml:space="preserve">مضمون </t>
    </r>
    <r>
      <rPr>
        <sz val="11"/>
        <color theme="1"/>
        <rFont val="Calibri"/>
        <family val="2"/>
        <charset val="1"/>
      </rPr>
      <t>:</t>
    </r>
    <r>
      <rPr>
        <sz val="11"/>
        <color theme="1"/>
        <rFont val="FreeSans"/>
        <family val="2"/>
      </rPr>
      <t>طبی انګلیسي</t>
    </r>
  </si>
  <si>
    <t>درې اتیا</t>
  </si>
  <si>
    <t>اته نوي</t>
  </si>
  <si>
    <t>پنځه اتیا</t>
  </si>
  <si>
    <t>نهه نوي</t>
  </si>
  <si>
    <t>1403/06/07</t>
  </si>
  <si>
    <r>
      <rPr>
        <sz val="11"/>
        <color theme="1"/>
        <rFont val="FreeSans"/>
        <family val="2"/>
      </rPr>
      <t xml:space="preserve">استاد 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>ذبیح الله فیضي</t>
    </r>
  </si>
  <si>
    <r>
      <rPr>
        <sz val="11"/>
        <color theme="1"/>
        <rFont val="FreeSans"/>
        <family val="2"/>
      </rPr>
      <t xml:space="preserve">مضمون </t>
    </r>
    <r>
      <rPr>
        <sz val="11"/>
        <color theme="1"/>
        <rFont val="Calibri"/>
        <family val="2"/>
        <charset val="1"/>
      </rPr>
      <t>:</t>
    </r>
    <r>
      <rPr>
        <sz val="11"/>
        <color theme="1"/>
        <rFont val="FreeSans"/>
        <family val="2"/>
      </rPr>
      <t>مورفولوژی</t>
    </r>
  </si>
  <si>
    <t>شپږ پنځوس</t>
  </si>
  <si>
    <t>نهه اتیا</t>
  </si>
  <si>
    <t>شپږ نوي</t>
  </si>
  <si>
    <t>اته اویا</t>
  </si>
  <si>
    <t>درې نوي</t>
  </si>
  <si>
    <t>اته شپېته</t>
  </si>
  <si>
    <t>نهه اویا</t>
  </si>
  <si>
    <t>1403/06/24</t>
  </si>
  <si>
    <r>
      <rPr>
        <sz val="11"/>
        <color theme="1"/>
        <rFont val="FreeSans"/>
        <family val="2"/>
      </rPr>
      <t xml:space="preserve">استاد 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>عبدالعزیز حسنزی</t>
    </r>
  </si>
  <si>
    <r>
      <rPr>
        <sz val="11"/>
        <color theme="1"/>
        <rFont val="FreeSans"/>
        <family val="2"/>
      </rPr>
      <t xml:space="preserve">مضمون </t>
    </r>
    <r>
      <rPr>
        <sz val="11"/>
        <color theme="1"/>
        <rFont val="Calibri"/>
        <family val="2"/>
        <charset val="1"/>
      </rPr>
      <t>:</t>
    </r>
    <r>
      <rPr>
        <sz val="11"/>
        <color theme="1"/>
        <rFont val="FreeSans"/>
        <family val="2"/>
      </rPr>
      <t>سامان پیژندنه</t>
    </r>
  </si>
  <si>
    <t>1403/06/03</t>
  </si>
  <si>
    <r>
      <rPr>
        <sz val="11"/>
        <color theme="1"/>
        <rFont val="FreeSans"/>
        <family val="2"/>
      </rPr>
      <t xml:space="preserve">استاد </t>
    </r>
    <r>
      <rPr>
        <sz val="11"/>
        <color theme="1"/>
        <rFont val="Calibri"/>
        <family val="2"/>
        <charset val="1"/>
      </rPr>
      <t>:</t>
    </r>
    <r>
      <rPr>
        <sz val="11"/>
        <color theme="1"/>
        <rFont val="FreeSans"/>
        <family val="2"/>
      </rPr>
      <t>عبدالعزیز حسنزی</t>
    </r>
  </si>
  <si>
    <r>
      <rPr>
        <sz val="11"/>
        <color theme="1"/>
        <rFont val="FreeSans"/>
        <family val="2"/>
      </rPr>
      <t xml:space="preserve">مضمون </t>
    </r>
    <r>
      <rPr>
        <sz val="11"/>
        <color theme="1"/>
        <rFont val="Calibri"/>
        <family val="2"/>
        <charset val="1"/>
      </rPr>
      <t>:</t>
    </r>
    <r>
      <rPr>
        <sz val="11"/>
        <color theme="1"/>
        <rFont val="FreeSans"/>
        <family val="2"/>
      </rPr>
      <t>اختصاصي لابراتوار</t>
    </r>
  </si>
  <si>
    <t>پنځه شپېته</t>
  </si>
  <si>
    <t>یو اتیا</t>
  </si>
  <si>
    <t>یو اویا</t>
  </si>
  <si>
    <t>1403/06/10</t>
  </si>
  <si>
    <r>
      <rPr>
        <sz val="10"/>
        <color theme="1"/>
        <rFont val="FreeSans"/>
        <family val="2"/>
      </rPr>
      <t xml:space="preserve">مضمون </t>
    </r>
    <r>
      <rPr>
        <sz val="10"/>
        <color theme="1"/>
        <rFont val="Calibri"/>
        <family val="2"/>
        <charset val="1"/>
      </rPr>
      <t>:</t>
    </r>
    <r>
      <rPr>
        <sz val="10"/>
        <color theme="1"/>
        <rFont val="FreeSans"/>
        <family val="2"/>
      </rPr>
      <t>اختصاصي ترمینالوژي</t>
    </r>
  </si>
  <si>
    <t>اوه نوي</t>
  </si>
  <si>
    <t>1403/06/12</t>
  </si>
  <si>
    <r>
      <rPr>
        <sz val="11"/>
        <color theme="1"/>
        <rFont val="FreeSans"/>
        <family val="2"/>
      </rPr>
      <t xml:space="preserve">استاد 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رحمت الله عظیمي </t>
    </r>
  </si>
  <si>
    <r>
      <rPr>
        <sz val="11"/>
        <color theme="1"/>
        <rFont val="FreeSans"/>
        <family val="2"/>
      </rPr>
      <t xml:space="preserve">مضمون </t>
    </r>
    <r>
      <rPr>
        <sz val="11"/>
        <color theme="1"/>
        <rFont val="Calibri"/>
        <family val="2"/>
        <charset val="1"/>
      </rPr>
      <t>:</t>
    </r>
    <r>
      <rPr>
        <sz val="11"/>
        <color theme="1"/>
        <rFont val="FreeSans"/>
        <family val="2"/>
      </rPr>
      <t>پتالوژی</t>
    </r>
  </si>
  <si>
    <t>دوه اویا</t>
  </si>
  <si>
    <t>څلور شپېته</t>
  </si>
  <si>
    <t>1403/06/19</t>
  </si>
  <si>
    <r>
      <rPr>
        <sz val="11"/>
        <color theme="1"/>
        <rFont val="FreeSans"/>
        <family val="2"/>
      </rPr>
      <t xml:space="preserve">مضمون </t>
    </r>
    <r>
      <rPr>
        <sz val="11"/>
        <color theme="1"/>
        <rFont val="Calibri"/>
        <family val="2"/>
        <charset val="1"/>
      </rPr>
      <t>:</t>
    </r>
    <r>
      <rPr>
        <sz val="11"/>
        <color theme="1"/>
        <rFont val="FreeSans"/>
        <family val="2"/>
      </rPr>
      <t>اناټومي فزیالوژی</t>
    </r>
  </si>
  <si>
    <t>1403/06/21</t>
  </si>
  <si>
    <r>
      <rPr>
        <sz val="11"/>
        <color theme="1"/>
        <rFont val="FreeSans"/>
        <family val="2"/>
      </rPr>
      <t xml:space="preserve">استاد 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>سید عبادالله سیدي</t>
    </r>
  </si>
  <si>
    <r>
      <rPr>
        <sz val="11"/>
        <color theme="1"/>
        <rFont val="FreeSans"/>
        <family val="2"/>
      </rPr>
      <t xml:space="preserve">مضمون </t>
    </r>
    <r>
      <rPr>
        <sz val="11"/>
        <color theme="1"/>
        <rFont val="Calibri"/>
        <family val="2"/>
        <charset val="1"/>
      </rPr>
      <t>:</t>
    </r>
    <r>
      <rPr>
        <sz val="11"/>
        <color theme="1"/>
        <rFont val="FreeSans"/>
        <family val="2"/>
      </rPr>
      <t>متحرک پروتیز</t>
    </r>
  </si>
  <si>
    <t>1403/06/05</t>
  </si>
  <si>
    <r>
      <rPr>
        <sz val="11"/>
        <color theme="1"/>
        <rFont val="FreeSans"/>
        <family val="2"/>
      </rPr>
      <t xml:space="preserve">استاد 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>فرهاد ځلاند</t>
    </r>
  </si>
  <si>
    <r>
      <rPr>
        <sz val="11"/>
        <color theme="1"/>
        <rFont val="FreeSans"/>
        <family val="2"/>
      </rPr>
      <t xml:space="preserve">مضمون </t>
    </r>
    <r>
      <rPr>
        <sz val="11"/>
        <color theme="1"/>
        <rFont val="Calibri"/>
        <family val="2"/>
        <charset val="1"/>
      </rPr>
      <t>:</t>
    </r>
    <r>
      <rPr>
        <sz val="11"/>
        <color theme="1"/>
        <rFont val="FreeSans"/>
        <family val="2"/>
      </rPr>
      <t>مایکروبیولوژی</t>
    </r>
  </si>
  <si>
    <r>
      <rPr>
        <sz val="11"/>
        <color theme="1"/>
        <rFont val="FreeSans"/>
        <family val="2"/>
      </rPr>
      <t xml:space="preserve">استاد 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>سید عباد الله سیدي</t>
    </r>
  </si>
  <si>
    <r>
      <rPr>
        <sz val="11"/>
        <color theme="1"/>
        <rFont val="FreeSans"/>
        <family val="2"/>
      </rPr>
      <t xml:space="preserve">مضمون </t>
    </r>
    <r>
      <rPr>
        <sz val="11"/>
        <color theme="1"/>
        <rFont val="Calibri"/>
        <family val="2"/>
        <charset val="1"/>
      </rPr>
      <t>:PHC</t>
    </r>
  </si>
  <si>
    <t>ازموینی کمیټه</t>
  </si>
  <si>
    <r>
      <rPr>
        <b/>
        <sz val="12"/>
        <color theme="1"/>
        <rFont val="FreeSans"/>
        <family val="2"/>
      </rPr>
      <t xml:space="preserve">د روان ۱۴۰۳ هـ ش کال د غاښونو پروتیز لومړی ټولګی لومړی سمستر سهار </t>
    </r>
    <r>
      <rPr>
        <b/>
        <sz val="12"/>
        <color theme="1"/>
        <rFont val="Calibri"/>
        <family val="2"/>
        <charset val="1"/>
      </rPr>
      <t xml:space="preserve">(   </t>
    </r>
    <r>
      <rPr>
        <b/>
        <sz val="12"/>
        <color theme="1"/>
        <rFont val="FreeSans"/>
        <family val="2"/>
      </rPr>
      <t xml:space="preserve">۹   </t>
    </r>
    <r>
      <rPr>
        <b/>
        <sz val="12"/>
        <color theme="1"/>
        <rFont val="Calibri"/>
        <family val="2"/>
        <charset val="1"/>
      </rPr>
      <t xml:space="preserve">) </t>
    </r>
    <r>
      <rPr>
        <b/>
        <sz val="12"/>
        <color theme="1"/>
        <rFont val="FreeSans"/>
        <family val="2"/>
      </rPr>
      <t>بجی دوره د نتایجو او نمراتو د تعین جدول</t>
    </r>
  </si>
  <si>
    <t>درجه</t>
  </si>
  <si>
    <t>نتیجه</t>
  </si>
  <si>
    <t>نمبري</t>
  </si>
  <si>
    <t>مضامین</t>
  </si>
  <si>
    <t>عمومی ګڼه</t>
  </si>
  <si>
    <t>فیصدی</t>
  </si>
  <si>
    <t>په عدد</t>
  </si>
  <si>
    <t>PHC</t>
  </si>
  <si>
    <t>مایکروبیولوژی</t>
  </si>
  <si>
    <t>متحرک پروتیز</t>
  </si>
  <si>
    <t>اناټومی فزیالوژی</t>
  </si>
  <si>
    <t>پتالوژی</t>
  </si>
  <si>
    <t>اختصاصی ترمینالوژی</t>
  </si>
  <si>
    <t>اختصاصی لابراتوار</t>
  </si>
  <si>
    <t>سامان پیژندنه</t>
  </si>
  <si>
    <t>مورفولوژی</t>
  </si>
  <si>
    <t>طبی انګلیسی</t>
  </si>
  <si>
    <t>عمومی ترمینالوژی</t>
  </si>
  <si>
    <t>اسلامیات</t>
  </si>
  <si>
    <t>پلارم نوم</t>
  </si>
  <si>
    <t xml:space="preserve"> </t>
  </si>
  <si>
    <t>محمد قلم</t>
  </si>
  <si>
    <t xml:space="preserve">عبدالحمید </t>
  </si>
  <si>
    <t xml:space="preserve">لیمه </t>
  </si>
  <si>
    <t>محمد رفیق</t>
  </si>
  <si>
    <t>ماریه</t>
  </si>
  <si>
    <t>سید بصیر</t>
  </si>
  <si>
    <t>بی بی سوما</t>
  </si>
  <si>
    <t>عارف</t>
  </si>
  <si>
    <t>ثناء</t>
  </si>
  <si>
    <t>تحسن الله</t>
  </si>
  <si>
    <t>عبدالحلیم</t>
  </si>
  <si>
    <t>فضیله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</si>
</sst>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1"/>
      <color theme="1"/>
      <name val="Calibri"/>
      <family val="2"/>
      <charset val="1"/>
    </font>
    <font>
      <b/>
      <sz val="12"/>
      <color rgb="FF00B0F0"/>
      <name val="FreeSans"/>
      <family val="2"/>
    </font>
    <font>
      <sz val="11"/>
      <color theme="1"/>
      <name val="FreeSans"/>
      <family val="2"/>
    </font>
    <font>
      <sz val="9"/>
      <color theme="1"/>
      <name val="FreeSans"/>
      <family val="2"/>
    </font>
    <font>
      <sz val="9"/>
      <color theme="1"/>
      <name val="Calibri"/>
      <family val="2"/>
      <charset val="1"/>
    </font>
    <font>
      <sz val="10"/>
      <color theme="1"/>
      <name val="FreeSans"/>
      <family val="2"/>
    </font>
    <font>
      <b/>
      <sz val="11"/>
      <name val="Times New Roman"/>
      <family val="1"/>
      <charset val="1"/>
    </font>
    <font>
      <sz val="12"/>
      <color rgb="FF000000"/>
      <name val="Sakkal Majalla"/>
      <charset val="1"/>
    </font>
    <font>
      <sz val="10"/>
      <color theme="1"/>
      <name val="Calibri"/>
      <family val="2"/>
      <charset val="1"/>
    </font>
    <font>
      <sz val="12"/>
      <color theme="1"/>
      <name val="Calibri"/>
      <family val="2"/>
      <charset val="1"/>
    </font>
    <font>
      <b/>
      <sz val="12"/>
      <color theme="1"/>
      <name val="FreeSans"/>
      <family val="2"/>
    </font>
    <font>
      <b/>
      <sz val="12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Alignment="1">
      <alignment horizontal="center" vertical="center"/>
    </xf>
    <xf numFmtId="0" fontId="0" fillId="0" borderId="2" xfId="0" applyBorder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horizontal="center" vertical="center"/>
    </xf>
    <xf numFmtId="0" fontId="6" fillId="0" borderId="3" xfId="0" applyFont="1" applyBorder="1" applyAlignment="1">
      <alignment horizontal="center" vertical="center" readingOrder="2"/>
    </xf>
    <xf numFmtId="0" fontId="7" fillId="0" borderId="3" xfId="0" applyFont="1" applyBorder="1" applyAlignment="1">
      <alignment horizontal="center" vertical="center" wrapText="1" readingOrder="2"/>
    </xf>
    <xf numFmtId="0" fontId="2" fillId="0" borderId="0" xfId="0" applyFont="1"/>
    <xf numFmtId="0" fontId="9" fillId="0" borderId="0" xfId="0" applyFont="1" applyAlignment="1">
      <alignment horizontal="center" vertical="center"/>
    </xf>
    <xf numFmtId="0" fontId="10" fillId="0" borderId="7" xfId="0" applyFont="1" applyBorder="1" applyAlignment="1">
      <alignment horizontal="center" vertical="center" textRotation="90"/>
    </xf>
    <xf numFmtId="0" fontId="11" fillId="0" borderId="7" xfId="0" applyFont="1" applyBorder="1" applyAlignment="1">
      <alignment horizontal="center" vertical="center" textRotation="90"/>
    </xf>
    <xf numFmtId="0" fontId="10" fillId="0" borderId="7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/>
    <xf numFmtId="0" fontId="0" fillId="0" borderId="0" xfId="0" applyFont="1"/>
    <xf numFmtId="0" fontId="9" fillId="0" borderId="6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 textRotation="90"/>
    </xf>
    <xf numFmtId="0" fontId="11" fillId="0" borderId="3" xfId="0" applyFont="1" applyBorder="1" applyAlignment="1">
      <alignment horizontal="right" vertical="center" textRotation="90"/>
    </xf>
    <xf numFmtId="0" fontId="11" fillId="0" borderId="9" xfId="0" applyFont="1" applyBorder="1" applyAlignment="1">
      <alignment horizontal="center" vertical="center" textRotation="90"/>
    </xf>
    <xf numFmtId="0" fontId="11" fillId="0" borderId="7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textRotation="90"/>
    </xf>
    <xf numFmtId="0" fontId="2" fillId="0" borderId="3" xfId="0" applyFont="1" applyBorder="1" applyAlignment="1">
      <alignment shrinkToFit="1"/>
    </xf>
    <xf numFmtId="0" fontId="2" fillId="0" borderId="3" xfId="0" applyFont="1" applyBorder="1" applyAlignment="1">
      <alignment horizontal="center" vertical="center" shrinkToFit="1"/>
    </xf>
    <xf numFmtId="0" fontId="2" fillId="0" borderId="4" xfId="0" applyFont="1" applyBorder="1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textRotation="90"/>
    </xf>
    <xf numFmtId="0" fontId="2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textRotation="90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textRotation="90"/>
    </xf>
    <xf numFmtId="0" fontId="3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right"/>
    </xf>
    <xf numFmtId="0" fontId="2" fillId="0" borderId="2" xfId="0" applyFont="1" applyBorder="1" applyAlignment="1">
      <alignment horizontal="center" vertical="center"/>
    </xf>
    <xf numFmtId="0" fontId="0" fillId="0" borderId="0" xfId="0" applyFont="1" applyBorder="1" applyAlignment="1">
      <alignment horizontal="right"/>
    </xf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0" fontId="2" fillId="0" borderId="0" xfId="0" applyFont="1" applyBorder="1" applyAlignment="1">
      <alignment horizontal="right"/>
    </xf>
    <xf numFmtId="0" fontId="2" fillId="0" borderId="5" xfId="0" applyFont="1" applyBorder="1" applyAlignment="1">
      <alignment horizontal="center"/>
    </xf>
    <xf numFmtId="0" fontId="5" fillId="0" borderId="0" xfId="0" applyFont="1" applyBorder="1" applyAlignment="1">
      <alignment horizontal="right"/>
    </xf>
    <xf numFmtId="0" fontId="2" fillId="0" borderId="0" xfId="0" applyFont="1" applyBorder="1" applyAlignment="1">
      <alignment horizontal="right" shrinkToFit="1"/>
    </xf>
    <xf numFmtId="0" fontId="2" fillId="0" borderId="0" xfId="0" applyFont="1" applyBorder="1" applyAlignment="1">
      <alignment horizontal="right" vertical="center" shrinkToFit="1"/>
    </xf>
    <xf numFmtId="0" fontId="10" fillId="0" borderId="0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 textRotation="90"/>
    </xf>
    <xf numFmtId="0" fontId="10" fillId="0" borderId="3" xfId="0" applyFont="1" applyBorder="1" applyAlignment="1">
      <alignment horizontal="right" vertical="center" textRotation="90"/>
    </xf>
    <xf numFmtId="0" fontId="10" fillId="0" borderId="3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3" xfId="0" applyFont="1" applyBorder="1" applyAlignment="1">
      <alignment horizontal="center" textRotation="90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45360</xdr:colOff>
      <xdr:row>0</xdr:row>
      <xdr:rowOff>153720</xdr:rowOff>
    </xdr:from>
    <xdr:to>
      <xdr:col>17</xdr:col>
      <xdr:colOff>152640</xdr:colOff>
      <xdr:row>5</xdr:row>
      <xdr:rowOff>29160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/>
      </xdr:blipFill>
      <xdr:spPr>
        <a:xfrm>
          <a:off x="5945040" y="153720"/>
          <a:ext cx="842040" cy="780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138240</xdr:colOff>
      <xdr:row>0</xdr:row>
      <xdr:rowOff>130320</xdr:rowOff>
    </xdr:from>
    <xdr:to>
      <xdr:col>4</xdr:col>
      <xdr:colOff>138600</xdr:colOff>
      <xdr:row>5</xdr:row>
      <xdr:rowOff>40680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2"/>
        <a:stretch/>
      </xdr:blipFill>
      <xdr:spPr>
        <a:xfrm>
          <a:off x="399960" y="130320"/>
          <a:ext cx="956520" cy="8154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45360</xdr:colOff>
      <xdr:row>0</xdr:row>
      <xdr:rowOff>153720</xdr:rowOff>
    </xdr:from>
    <xdr:to>
      <xdr:col>17</xdr:col>
      <xdr:colOff>152640</xdr:colOff>
      <xdr:row>5</xdr:row>
      <xdr:rowOff>29160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/>
      </xdr:blipFill>
      <xdr:spPr>
        <a:xfrm>
          <a:off x="5872680" y="153720"/>
          <a:ext cx="842040" cy="780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138240</xdr:colOff>
      <xdr:row>0</xdr:row>
      <xdr:rowOff>130320</xdr:rowOff>
    </xdr:from>
    <xdr:to>
      <xdr:col>4</xdr:col>
      <xdr:colOff>148680</xdr:colOff>
      <xdr:row>5</xdr:row>
      <xdr:rowOff>40680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2"/>
        <a:stretch/>
      </xdr:blipFill>
      <xdr:spPr>
        <a:xfrm>
          <a:off x="399960" y="130320"/>
          <a:ext cx="956520" cy="8154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45360</xdr:colOff>
      <xdr:row>0</xdr:row>
      <xdr:rowOff>153720</xdr:rowOff>
    </xdr:from>
    <xdr:to>
      <xdr:col>17</xdr:col>
      <xdr:colOff>132120</xdr:colOff>
      <xdr:row>5</xdr:row>
      <xdr:rowOff>124560</xdr:rowOff>
    </xdr:to>
    <xdr:pic>
      <xdr:nvPicPr>
        <xdr:cNvPr id="4" name="Picture 1"/>
        <xdr:cNvPicPr/>
      </xdr:nvPicPr>
      <xdr:blipFill>
        <a:blip xmlns:r="http://schemas.openxmlformats.org/officeDocument/2006/relationships" r:embed="rId1"/>
        <a:stretch/>
      </xdr:blipFill>
      <xdr:spPr>
        <a:xfrm>
          <a:off x="5974200" y="153720"/>
          <a:ext cx="842040" cy="780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138240</xdr:colOff>
      <xdr:row>0</xdr:row>
      <xdr:rowOff>130320</xdr:rowOff>
    </xdr:from>
    <xdr:to>
      <xdr:col>4</xdr:col>
      <xdr:colOff>138600</xdr:colOff>
      <xdr:row>5</xdr:row>
      <xdr:rowOff>136080</xdr:rowOff>
    </xdr:to>
    <xdr:pic>
      <xdr:nvPicPr>
        <xdr:cNvPr id="5" name="Picture 2"/>
        <xdr:cNvPicPr/>
      </xdr:nvPicPr>
      <xdr:blipFill>
        <a:blip xmlns:r="http://schemas.openxmlformats.org/officeDocument/2006/relationships" r:embed="rId2"/>
        <a:stretch/>
      </xdr:blipFill>
      <xdr:spPr>
        <a:xfrm>
          <a:off x="399960" y="130320"/>
          <a:ext cx="956520" cy="8154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45360</xdr:colOff>
      <xdr:row>0</xdr:row>
      <xdr:rowOff>153720</xdr:rowOff>
    </xdr:from>
    <xdr:to>
      <xdr:col>17</xdr:col>
      <xdr:colOff>132480</xdr:colOff>
      <xdr:row>5</xdr:row>
      <xdr:rowOff>77040</xdr:rowOff>
    </xdr:to>
    <xdr:pic>
      <xdr:nvPicPr>
        <xdr:cNvPr id="6" name="Picture 1"/>
        <xdr:cNvPicPr/>
      </xdr:nvPicPr>
      <xdr:blipFill>
        <a:blip xmlns:r="http://schemas.openxmlformats.org/officeDocument/2006/relationships" r:embed="rId1"/>
        <a:stretch/>
      </xdr:blipFill>
      <xdr:spPr>
        <a:xfrm>
          <a:off x="6004800" y="153720"/>
          <a:ext cx="842040" cy="780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138240</xdr:colOff>
      <xdr:row>0</xdr:row>
      <xdr:rowOff>130320</xdr:rowOff>
    </xdr:from>
    <xdr:to>
      <xdr:col>4</xdr:col>
      <xdr:colOff>148680</xdr:colOff>
      <xdr:row>5</xdr:row>
      <xdr:rowOff>88560</xdr:rowOff>
    </xdr:to>
    <xdr:pic>
      <xdr:nvPicPr>
        <xdr:cNvPr id="7" name="Picture 2"/>
        <xdr:cNvPicPr/>
      </xdr:nvPicPr>
      <xdr:blipFill>
        <a:blip xmlns:r="http://schemas.openxmlformats.org/officeDocument/2006/relationships" r:embed="rId2"/>
        <a:stretch/>
      </xdr:blipFill>
      <xdr:spPr>
        <a:xfrm>
          <a:off x="399960" y="130320"/>
          <a:ext cx="956520" cy="8154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45360</xdr:colOff>
      <xdr:row>0</xdr:row>
      <xdr:rowOff>153720</xdr:rowOff>
    </xdr:from>
    <xdr:to>
      <xdr:col>17</xdr:col>
      <xdr:colOff>132480</xdr:colOff>
      <xdr:row>5</xdr:row>
      <xdr:rowOff>29160</xdr:rowOff>
    </xdr:to>
    <xdr:pic>
      <xdr:nvPicPr>
        <xdr:cNvPr id="8" name="Picture 1"/>
        <xdr:cNvPicPr/>
      </xdr:nvPicPr>
      <xdr:blipFill>
        <a:blip xmlns:r="http://schemas.openxmlformats.org/officeDocument/2006/relationships" r:embed="rId1"/>
        <a:stretch/>
      </xdr:blipFill>
      <xdr:spPr>
        <a:xfrm>
          <a:off x="5984640" y="153720"/>
          <a:ext cx="842040" cy="780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138240</xdr:colOff>
      <xdr:row>0</xdr:row>
      <xdr:rowOff>130320</xdr:rowOff>
    </xdr:from>
    <xdr:to>
      <xdr:col>4</xdr:col>
      <xdr:colOff>148680</xdr:colOff>
      <xdr:row>5</xdr:row>
      <xdr:rowOff>40680</xdr:rowOff>
    </xdr:to>
    <xdr:pic>
      <xdr:nvPicPr>
        <xdr:cNvPr id="9" name="Picture 2"/>
        <xdr:cNvPicPr/>
      </xdr:nvPicPr>
      <xdr:blipFill>
        <a:blip xmlns:r="http://schemas.openxmlformats.org/officeDocument/2006/relationships" r:embed="rId2"/>
        <a:stretch/>
      </xdr:blipFill>
      <xdr:spPr>
        <a:xfrm>
          <a:off x="399960" y="130320"/>
          <a:ext cx="956520" cy="8154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45360</xdr:colOff>
      <xdr:row>0</xdr:row>
      <xdr:rowOff>153720</xdr:rowOff>
    </xdr:from>
    <xdr:to>
      <xdr:col>17</xdr:col>
      <xdr:colOff>132480</xdr:colOff>
      <xdr:row>5</xdr:row>
      <xdr:rowOff>77040</xdr:rowOff>
    </xdr:to>
    <xdr:pic>
      <xdr:nvPicPr>
        <xdr:cNvPr id="10" name="Picture 1"/>
        <xdr:cNvPicPr/>
      </xdr:nvPicPr>
      <xdr:blipFill>
        <a:blip xmlns:r="http://schemas.openxmlformats.org/officeDocument/2006/relationships" r:embed="rId1"/>
        <a:stretch/>
      </xdr:blipFill>
      <xdr:spPr>
        <a:xfrm>
          <a:off x="5994720" y="153720"/>
          <a:ext cx="842040" cy="780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138240</xdr:colOff>
      <xdr:row>0</xdr:row>
      <xdr:rowOff>130320</xdr:rowOff>
    </xdr:from>
    <xdr:to>
      <xdr:col>4</xdr:col>
      <xdr:colOff>148680</xdr:colOff>
      <xdr:row>5</xdr:row>
      <xdr:rowOff>88560</xdr:rowOff>
    </xdr:to>
    <xdr:pic>
      <xdr:nvPicPr>
        <xdr:cNvPr id="11" name="Picture 2"/>
        <xdr:cNvPicPr/>
      </xdr:nvPicPr>
      <xdr:blipFill>
        <a:blip xmlns:r="http://schemas.openxmlformats.org/officeDocument/2006/relationships" r:embed="rId2"/>
        <a:stretch/>
      </xdr:blipFill>
      <xdr:spPr>
        <a:xfrm>
          <a:off x="399960" y="130320"/>
          <a:ext cx="956520" cy="8154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45360</xdr:colOff>
      <xdr:row>0</xdr:row>
      <xdr:rowOff>153720</xdr:rowOff>
    </xdr:from>
    <xdr:to>
      <xdr:col>17</xdr:col>
      <xdr:colOff>132480</xdr:colOff>
      <xdr:row>5</xdr:row>
      <xdr:rowOff>124560</xdr:rowOff>
    </xdr:to>
    <xdr:pic>
      <xdr:nvPicPr>
        <xdr:cNvPr id="12" name="Picture 1"/>
        <xdr:cNvPicPr/>
      </xdr:nvPicPr>
      <xdr:blipFill>
        <a:blip xmlns:r="http://schemas.openxmlformats.org/officeDocument/2006/relationships" r:embed="rId1"/>
        <a:stretch/>
      </xdr:blipFill>
      <xdr:spPr>
        <a:xfrm>
          <a:off x="5965560" y="153720"/>
          <a:ext cx="842040" cy="780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138240</xdr:colOff>
      <xdr:row>0</xdr:row>
      <xdr:rowOff>130320</xdr:rowOff>
    </xdr:from>
    <xdr:to>
      <xdr:col>4</xdr:col>
      <xdr:colOff>128520</xdr:colOff>
      <xdr:row>5</xdr:row>
      <xdr:rowOff>136080</xdr:rowOff>
    </xdr:to>
    <xdr:pic>
      <xdr:nvPicPr>
        <xdr:cNvPr id="13" name="Picture 2"/>
        <xdr:cNvPicPr/>
      </xdr:nvPicPr>
      <xdr:blipFill>
        <a:blip xmlns:r="http://schemas.openxmlformats.org/officeDocument/2006/relationships" r:embed="rId2"/>
        <a:stretch/>
      </xdr:blipFill>
      <xdr:spPr>
        <a:xfrm>
          <a:off x="399960" y="130320"/>
          <a:ext cx="956520" cy="8154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45360</xdr:colOff>
      <xdr:row>0</xdr:row>
      <xdr:rowOff>153720</xdr:rowOff>
    </xdr:from>
    <xdr:to>
      <xdr:col>17</xdr:col>
      <xdr:colOff>132480</xdr:colOff>
      <xdr:row>5</xdr:row>
      <xdr:rowOff>29160</xdr:rowOff>
    </xdr:to>
    <xdr:pic>
      <xdr:nvPicPr>
        <xdr:cNvPr id="14" name="Picture 1"/>
        <xdr:cNvPicPr/>
      </xdr:nvPicPr>
      <xdr:blipFill>
        <a:blip xmlns:r="http://schemas.openxmlformats.org/officeDocument/2006/relationships" r:embed="rId1"/>
        <a:stretch/>
      </xdr:blipFill>
      <xdr:spPr>
        <a:xfrm>
          <a:off x="5994720" y="153720"/>
          <a:ext cx="842040" cy="780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138240</xdr:colOff>
      <xdr:row>0</xdr:row>
      <xdr:rowOff>130320</xdr:rowOff>
    </xdr:from>
    <xdr:to>
      <xdr:col>4</xdr:col>
      <xdr:colOff>148680</xdr:colOff>
      <xdr:row>5</xdr:row>
      <xdr:rowOff>40680</xdr:rowOff>
    </xdr:to>
    <xdr:pic>
      <xdr:nvPicPr>
        <xdr:cNvPr id="15" name="Picture 2"/>
        <xdr:cNvPicPr/>
      </xdr:nvPicPr>
      <xdr:blipFill>
        <a:blip xmlns:r="http://schemas.openxmlformats.org/officeDocument/2006/relationships" r:embed="rId2"/>
        <a:stretch/>
      </xdr:blipFill>
      <xdr:spPr>
        <a:xfrm>
          <a:off x="399960" y="130320"/>
          <a:ext cx="956520" cy="8154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45360</xdr:colOff>
      <xdr:row>0</xdr:row>
      <xdr:rowOff>153720</xdr:rowOff>
    </xdr:from>
    <xdr:to>
      <xdr:col>17</xdr:col>
      <xdr:colOff>132480</xdr:colOff>
      <xdr:row>5</xdr:row>
      <xdr:rowOff>29160</xdr:rowOff>
    </xdr:to>
    <xdr:pic>
      <xdr:nvPicPr>
        <xdr:cNvPr id="16" name="Picture 1"/>
        <xdr:cNvPicPr/>
      </xdr:nvPicPr>
      <xdr:blipFill>
        <a:blip xmlns:r="http://schemas.openxmlformats.org/officeDocument/2006/relationships" r:embed="rId1"/>
        <a:stretch/>
      </xdr:blipFill>
      <xdr:spPr>
        <a:xfrm>
          <a:off x="5914800" y="153720"/>
          <a:ext cx="842040" cy="780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138240</xdr:colOff>
      <xdr:row>0</xdr:row>
      <xdr:rowOff>130320</xdr:rowOff>
    </xdr:from>
    <xdr:to>
      <xdr:col>4</xdr:col>
      <xdr:colOff>138600</xdr:colOff>
      <xdr:row>5</xdr:row>
      <xdr:rowOff>40680</xdr:rowOff>
    </xdr:to>
    <xdr:pic>
      <xdr:nvPicPr>
        <xdr:cNvPr id="17" name="Picture 2"/>
        <xdr:cNvPicPr/>
      </xdr:nvPicPr>
      <xdr:blipFill>
        <a:blip xmlns:r="http://schemas.openxmlformats.org/officeDocument/2006/relationships" r:embed="rId2"/>
        <a:stretch/>
      </xdr:blipFill>
      <xdr:spPr>
        <a:xfrm>
          <a:off x="399960" y="130320"/>
          <a:ext cx="956520" cy="8154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45360</xdr:colOff>
      <xdr:row>0</xdr:row>
      <xdr:rowOff>153720</xdr:rowOff>
    </xdr:from>
    <xdr:to>
      <xdr:col>17</xdr:col>
      <xdr:colOff>132480</xdr:colOff>
      <xdr:row>5</xdr:row>
      <xdr:rowOff>124560</xdr:rowOff>
    </xdr:to>
    <xdr:pic>
      <xdr:nvPicPr>
        <xdr:cNvPr id="18" name="Picture 1"/>
        <xdr:cNvPicPr/>
      </xdr:nvPicPr>
      <xdr:blipFill>
        <a:blip xmlns:r="http://schemas.openxmlformats.org/officeDocument/2006/relationships" r:embed="rId1"/>
        <a:stretch/>
      </xdr:blipFill>
      <xdr:spPr>
        <a:xfrm>
          <a:off x="5954040" y="153720"/>
          <a:ext cx="842040" cy="780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138240</xdr:colOff>
      <xdr:row>0</xdr:row>
      <xdr:rowOff>130320</xdr:rowOff>
    </xdr:from>
    <xdr:to>
      <xdr:col>4</xdr:col>
      <xdr:colOff>138600</xdr:colOff>
      <xdr:row>5</xdr:row>
      <xdr:rowOff>136080</xdr:rowOff>
    </xdr:to>
    <xdr:pic>
      <xdr:nvPicPr>
        <xdr:cNvPr id="19" name="Picture 2"/>
        <xdr:cNvPicPr/>
      </xdr:nvPicPr>
      <xdr:blipFill>
        <a:blip xmlns:r="http://schemas.openxmlformats.org/officeDocument/2006/relationships" r:embed="rId2"/>
        <a:stretch/>
      </xdr:blipFill>
      <xdr:spPr>
        <a:xfrm>
          <a:off x="399960" y="130320"/>
          <a:ext cx="956520" cy="8154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45360</xdr:colOff>
      <xdr:row>0</xdr:row>
      <xdr:rowOff>153720</xdr:rowOff>
    </xdr:from>
    <xdr:to>
      <xdr:col>17</xdr:col>
      <xdr:colOff>152640</xdr:colOff>
      <xdr:row>5</xdr:row>
      <xdr:rowOff>77040</xdr:rowOff>
    </xdr:to>
    <xdr:pic>
      <xdr:nvPicPr>
        <xdr:cNvPr id="20" name="Picture 1"/>
        <xdr:cNvPicPr/>
      </xdr:nvPicPr>
      <xdr:blipFill>
        <a:blip xmlns:r="http://schemas.openxmlformats.org/officeDocument/2006/relationships" r:embed="rId1"/>
        <a:stretch/>
      </xdr:blipFill>
      <xdr:spPr>
        <a:xfrm>
          <a:off x="6124680" y="153720"/>
          <a:ext cx="842040" cy="780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138240</xdr:colOff>
      <xdr:row>0</xdr:row>
      <xdr:rowOff>130320</xdr:rowOff>
    </xdr:from>
    <xdr:to>
      <xdr:col>4</xdr:col>
      <xdr:colOff>138600</xdr:colOff>
      <xdr:row>5</xdr:row>
      <xdr:rowOff>88560</xdr:rowOff>
    </xdr:to>
    <xdr:pic>
      <xdr:nvPicPr>
        <xdr:cNvPr id="21" name="Picture 2"/>
        <xdr:cNvPicPr/>
      </xdr:nvPicPr>
      <xdr:blipFill>
        <a:blip xmlns:r="http://schemas.openxmlformats.org/officeDocument/2006/relationships" r:embed="rId2"/>
        <a:stretch/>
      </xdr:blipFill>
      <xdr:spPr>
        <a:xfrm>
          <a:off x="399960" y="130320"/>
          <a:ext cx="956520" cy="8154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45360</xdr:colOff>
      <xdr:row>0</xdr:row>
      <xdr:rowOff>153720</xdr:rowOff>
    </xdr:from>
    <xdr:to>
      <xdr:col>17</xdr:col>
      <xdr:colOff>132480</xdr:colOff>
      <xdr:row>5</xdr:row>
      <xdr:rowOff>29160</xdr:rowOff>
    </xdr:to>
    <xdr:pic>
      <xdr:nvPicPr>
        <xdr:cNvPr id="22" name="Picture 1"/>
        <xdr:cNvPicPr/>
      </xdr:nvPicPr>
      <xdr:blipFill>
        <a:blip xmlns:r="http://schemas.openxmlformats.org/officeDocument/2006/relationships" r:embed="rId1"/>
        <a:stretch/>
      </xdr:blipFill>
      <xdr:spPr>
        <a:xfrm>
          <a:off x="5964120" y="153720"/>
          <a:ext cx="842040" cy="780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138240</xdr:colOff>
      <xdr:row>0</xdr:row>
      <xdr:rowOff>130320</xdr:rowOff>
    </xdr:from>
    <xdr:to>
      <xdr:col>4</xdr:col>
      <xdr:colOff>138600</xdr:colOff>
      <xdr:row>5</xdr:row>
      <xdr:rowOff>40680</xdr:rowOff>
    </xdr:to>
    <xdr:pic>
      <xdr:nvPicPr>
        <xdr:cNvPr id="23" name="Picture 2"/>
        <xdr:cNvPicPr/>
      </xdr:nvPicPr>
      <xdr:blipFill>
        <a:blip xmlns:r="http://schemas.openxmlformats.org/officeDocument/2006/relationships" r:embed="rId2"/>
        <a:stretch/>
      </xdr:blipFill>
      <xdr:spPr>
        <a:xfrm>
          <a:off x="399960" y="130320"/>
          <a:ext cx="956520" cy="8154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207000</xdr:colOff>
      <xdr:row>0</xdr:row>
      <xdr:rowOff>144000</xdr:rowOff>
    </xdr:from>
    <xdr:to>
      <xdr:col>18</xdr:col>
      <xdr:colOff>42120</xdr:colOff>
      <xdr:row>4</xdr:row>
      <xdr:rowOff>124200</xdr:rowOff>
    </xdr:to>
    <xdr:pic>
      <xdr:nvPicPr>
        <xdr:cNvPr id="26" name="Picture 1"/>
        <xdr:cNvPicPr/>
      </xdr:nvPicPr>
      <xdr:blipFill>
        <a:blip xmlns:r="http://schemas.openxmlformats.org/officeDocument/2006/relationships" r:embed="rId1"/>
        <a:stretch/>
      </xdr:blipFill>
      <xdr:spPr>
        <a:xfrm>
          <a:off x="6727320" y="144000"/>
          <a:ext cx="842040" cy="780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399960</xdr:colOff>
      <xdr:row>0</xdr:row>
      <xdr:rowOff>35280</xdr:rowOff>
    </xdr:from>
    <xdr:to>
      <xdr:col>2</xdr:col>
      <xdr:colOff>480960</xdr:colOff>
      <xdr:row>4</xdr:row>
      <xdr:rowOff>50400</xdr:rowOff>
    </xdr:to>
    <xdr:pic>
      <xdr:nvPicPr>
        <xdr:cNvPr id="27" name="Picture 2"/>
        <xdr:cNvPicPr/>
      </xdr:nvPicPr>
      <xdr:blipFill>
        <a:blip xmlns:r="http://schemas.openxmlformats.org/officeDocument/2006/relationships" r:embed="rId2"/>
        <a:stretch/>
      </xdr:blipFill>
      <xdr:spPr>
        <a:xfrm>
          <a:off x="399960" y="35280"/>
          <a:ext cx="956520" cy="8154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3"/>
  <sheetViews>
    <sheetView zoomScaleNormal="100" workbookViewId="0">
      <selection activeCell="G16" sqref="G16"/>
    </sheetView>
  </sheetViews>
  <sheetFormatPr defaultColWidth="9.1796875" defaultRowHeight="14.5"/>
  <cols>
    <col min="1" max="1" width="3.7265625" customWidth="1"/>
    <col min="2" max="3" width="4.7265625" customWidth="1"/>
    <col min="4" max="6" width="4.1796875" customWidth="1"/>
    <col min="7" max="8" width="9.26953125" customWidth="1"/>
    <col min="9" max="9" width="3.54296875" style="1" customWidth="1"/>
    <col min="10" max="10" width="3.7265625" customWidth="1"/>
    <col min="11" max="12" width="4.7265625" customWidth="1"/>
    <col min="13" max="15" width="4.1796875" customWidth="1"/>
    <col min="16" max="17" width="10.453125" customWidth="1"/>
    <col min="18" max="18" width="3.7265625" style="1" customWidth="1"/>
  </cols>
  <sheetData>
    <row r="1" spans="1:18" ht="14.25" customHeight="1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</row>
    <row r="2" spans="1:18" ht="14.25" customHeight="1">
      <c r="A2" s="29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</row>
    <row r="3" spans="1:18" ht="14.25" customHeight="1">
      <c r="A3" s="29" t="s">
        <v>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</row>
    <row r="4" spans="1:18" ht="14.25" customHeight="1">
      <c r="A4" s="29" t="s">
        <v>3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</row>
    <row r="5" spans="1:18" ht="14.25" customHeight="1">
      <c r="A5" s="29" t="s">
        <v>4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</row>
    <row r="6" spans="1:18" ht="14.25" customHeight="1">
      <c r="A6" s="36" t="s">
        <v>5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</row>
    <row r="7" spans="1:18" ht="15.75" customHeight="1">
      <c r="B7" s="37" t="s">
        <v>6</v>
      </c>
      <c r="C7" s="37"/>
      <c r="D7" s="37"/>
      <c r="G7" s="38" t="s">
        <v>7</v>
      </c>
      <c r="H7" s="38"/>
      <c r="I7" s="38"/>
      <c r="J7" s="2"/>
      <c r="K7" s="1"/>
      <c r="L7" s="39" t="s">
        <v>8</v>
      </c>
      <c r="M7" s="39"/>
      <c r="N7" s="39"/>
      <c r="O7" s="39"/>
      <c r="P7" s="3" t="s">
        <v>9</v>
      </c>
      <c r="Q7" s="4" t="s">
        <v>10</v>
      </c>
    </row>
    <row r="8" spans="1:18" ht="6.75" customHeight="1"/>
    <row r="9" spans="1:18">
      <c r="A9" s="40" t="s">
        <v>11</v>
      </c>
      <c r="B9" s="40"/>
      <c r="C9" s="40"/>
      <c r="D9" s="40"/>
      <c r="E9" s="41" t="s">
        <v>12</v>
      </c>
      <c r="F9" s="41"/>
      <c r="H9" s="41" t="s">
        <v>13</v>
      </c>
      <c r="I9" s="41"/>
      <c r="J9" s="41"/>
      <c r="L9" s="42" t="s">
        <v>14</v>
      </c>
      <c r="M9" s="42"/>
      <c r="N9" s="42"/>
      <c r="O9" s="42"/>
      <c r="P9" s="43" t="s">
        <v>15</v>
      </c>
      <c r="Q9" s="43"/>
    </row>
    <row r="10" spans="1:18" ht="7.5" customHeight="1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</row>
    <row r="11" spans="1:18" ht="20.25" customHeight="1">
      <c r="A11" s="30" t="s">
        <v>16</v>
      </c>
      <c r="B11" s="31" t="s">
        <v>17</v>
      </c>
      <c r="C11" s="31"/>
      <c r="D11" s="32" t="s">
        <v>18</v>
      </c>
      <c r="E11" s="32" t="s">
        <v>19</v>
      </c>
      <c r="F11" s="30" t="s">
        <v>20</v>
      </c>
      <c r="G11" s="33" t="s">
        <v>21</v>
      </c>
      <c r="H11" s="33"/>
      <c r="I11" s="34" t="s">
        <v>22</v>
      </c>
      <c r="J11" s="30" t="s">
        <v>16</v>
      </c>
      <c r="K11" s="35" t="s">
        <v>17</v>
      </c>
      <c r="L11" s="35"/>
      <c r="M11" s="32" t="s">
        <v>18</v>
      </c>
      <c r="N11" s="32" t="s">
        <v>19</v>
      </c>
      <c r="O11" s="30" t="s">
        <v>20</v>
      </c>
      <c r="P11" s="33" t="s">
        <v>21</v>
      </c>
      <c r="Q11" s="33"/>
      <c r="R11" s="34" t="s">
        <v>22</v>
      </c>
    </row>
    <row r="12" spans="1:18" ht="25.5" customHeight="1">
      <c r="A12" s="30"/>
      <c r="B12" s="6" t="s">
        <v>23</v>
      </c>
      <c r="C12" s="6" t="s">
        <v>24</v>
      </c>
      <c r="D12" s="32"/>
      <c r="E12" s="32"/>
      <c r="F12" s="32"/>
      <c r="G12" s="5" t="s">
        <v>25</v>
      </c>
      <c r="H12" s="5" t="s">
        <v>26</v>
      </c>
      <c r="I12" s="34"/>
      <c r="J12" s="34"/>
      <c r="K12" s="6" t="s">
        <v>23</v>
      </c>
      <c r="L12" s="6" t="s">
        <v>24</v>
      </c>
      <c r="M12" s="32"/>
      <c r="N12" s="32"/>
      <c r="O12" s="32"/>
      <c r="P12" s="5" t="s">
        <v>25</v>
      </c>
      <c r="Q12" s="5" t="s">
        <v>26</v>
      </c>
      <c r="R12" s="34"/>
    </row>
    <row r="13" spans="1:18">
      <c r="A13" s="7"/>
      <c r="B13" s="7"/>
      <c r="C13" s="8"/>
      <c r="D13" s="8"/>
      <c r="E13" s="8"/>
      <c r="F13" s="8"/>
      <c r="G13" s="7"/>
      <c r="H13" s="7"/>
      <c r="I13" s="8">
        <v>1</v>
      </c>
      <c r="J13" s="7"/>
      <c r="K13" s="26" t="s">
        <v>27</v>
      </c>
      <c r="L13" s="8">
        <f t="shared" ref="L13:L30" si="0">SUM(M13:O13)</f>
        <v>80</v>
      </c>
      <c r="M13" s="8">
        <v>45</v>
      </c>
      <c r="N13" s="8">
        <v>15</v>
      </c>
      <c r="O13" s="8">
        <v>20</v>
      </c>
      <c r="P13" s="9" t="s">
        <v>28</v>
      </c>
      <c r="Q13" s="9" t="s">
        <v>29</v>
      </c>
      <c r="R13" s="8">
        <v>1</v>
      </c>
    </row>
    <row r="14" spans="1:18">
      <c r="A14" s="7"/>
      <c r="B14" s="7"/>
      <c r="C14" s="8"/>
      <c r="D14" s="8"/>
      <c r="E14" s="8"/>
      <c r="F14" s="8"/>
      <c r="G14" s="7"/>
      <c r="H14" s="7"/>
      <c r="I14" s="8">
        <v>2</v>
      </c>
      <c r="J14" s="7"/>
      <c r="K14" s="26" t="s">
        <v>27</v>
      </c>
      <c r="L14" s="8">
        <f t="shared" si="0"/>
        <v>80</v>
      </c>
      <c r="M14" s="8">
        <v>42</v>
      </c>
      <c r="N14" s="8">
        <v>18</v>
      </c>
      <c r="O14" s="8">
        <v>20</v>
      </c>
      <c r="P14" s="9" t="s">
        <v>30</v>
      </c>
      <c r="Q14" s="9" t="s">
        <v>31</v>
      </c>
      <c r="R14" s="8">
        <v>2</v>
      </c>
    </row>
    <row r="15" spans="1:18">
      <c r="A15" s="7"/>
      <c r="B15" s="7"/>
      <c r="C15" s="8"/>
      <c r="D15" s="8"/>
      <c r="E15" s="8"/>
      <c r="F15" s="8"/>
      <c r="G15" s="7"/>
      <c r="H15" s="7"/>
      <c r="I15" s="8">
        <v>3</v>
      </c>
      <c r="J15" s="7"/>
      <c r="K15" s="26" t="s">
        <v>32</v>
      </c>
      <c r="L15" s="8">
        <f t="shared" si="0"/>
        <v>92</v>
      </c>
      <c r="M15" s="8">
        <v>55</v>
      </c>
      <c r="N15" s="8">
        <v>17</v>
      </c>
      <c r="O15" s="8">
        <v>20</v>
      </c>
      <c r="P15" s="9" t="s">
        <v>33</v>
      </c>
      <c r="Q15" s="9" t="s">
        <v>34</v>
      </c>
      <c r="R15" s="8">
        <v>3</v>
      </c>
    </row>
    <row r="16" spans="1:18">
      <c r="A16" s="7"/>
      <c r="B16" s="7"/>
      <c r="C16" s="8"/>
      <c r="D16" s="8"/>
      <c r="E16" s="8"/>
      <c r="F16" s="8"/>
      <c r="G16" s="7"/>
      <c r="H16" s="7"/>
      <c r="I16" s="8">
        <v>4</v>
      </c>
      <c r="J16" s="7"/>
      <c r="K16" s="26" t="s">
        <v>35</v>
      </c>
      <c r="L16" s="8">
        <f t="shared" si="0"/>
        <v>95</v>
      </c>
      <c r="M16" s="8">
        <v>56</v>
      </c>
      <c r="N16" s="8">
        <v>19</v>
      </c>
      <c r="O16" s="8">
        <v>20</v>
      </c>
      <c r="P16" s="9" t="s">
        <v>36</v>
      </c>
      <c r="Q16" s="9" t="s">
        <v>37</v>
      </c>
      <c r="R16" s="8">
        <v>4</v>
      </c>
    </row>
    <row r="17" spans="1:18">
      <c r="A17" s="7"/>
      <c r="B17" s="7"/>
      <c r="C17" s="8"/>
      <c r="D17" s="8"/>
      <c r="E17" s="8"/>
      <c r="F17" s="8"/>
      <c r="G17" s="7"/>
      <c r="H17" s="7"/>
      <c r="I17" s="8">
        <v>5</v>
      </c>
      <c r="J17" s="7"/>
      <c r="K17" s="26" t="s">
        <v>38</v>
      </c>
      <c r="L17" s="8">
        <f t="shared" si="0"/>
        <v>88</v>
      </c>
      <c r="M17" s="8">
        <v>56</v>
      </c>
      <c r="N17" s="8">
        <v>12</v>
      </c>
      <c r="O17" s="8">
        <v>20</v>
      </c>
      <c r="P17" s="9" t="s">
        <v>39</v>
      </c>
      <c r="Q17" s="9" t="s">
        <v>40</v>
      </c>
      <c r="R17" s="8">
        <v>5</v>
      </c>
    </row>
    <row r="18" spans="1:18">
      <c r="A18" s="7"/>
      <c r="B18" s="7"/>
      <c r="C18" s="8"/>
      <c r="D18" s="8"/>
      <c r="E18" s="8"/>
      <c r="F18" s="8"/>
      <c r="G18" s="7"/>
      <c r="H18" s="7"/>
      <c r="I18" s="8">
        <v>6</v>
      </c>
      <c r="J18" s="7"/>
      <c r="K18" s="26" t="s">
        <v>41</v>
      </c>
      <c r="L18" s="8">
        <f t="shared" si="0"/>
        <v>87</v>
      </c>
      <c r="M18" s="8">
        <v>52</v>
      </c>
      <c r="N18" s="8">
        <v>15</v>
      </c>
      <c r="O18" s="8">
        <v>20</v>
      </c>
      <c r="P18" s="9" t="s">
        <v>42</v>
      </c>
      <c r="Q18" s="9" t="s">
        <v>43</v>
      </c>
      <c r="R18" s="8">
        <v>6</v>
      </c>
    </row>
    <row r="19" spans="1:18">
      <c r="A19" s="7"/>
      <c r="B19" s="7"/>
      <c r="C19" s="8"/>
      <c r="D19" s="8"/>
      <c r="E19" s="8"/>
      <c r="F19" s="8"/>
      <c r="G19" s="7"/>
      <c r="H19" s="7"/>
      <c r="I19" s="8">
        <v>7</v>
      </c>
      <c r="J19" s="7"/>
      <c r="K19" s="26" t="s">
        <v>44</v>
      </c>
      <c r="L19" s="8">
        <f t="shared" si="0"/>
        <v>75</v>
      </c>
      <c r="M19" s="8">
        <v>48</v>
      </c>
      <c r="N19" s="8">
        <v>7</v>
      </c>
      <c r="O19" s="8">
        <v>20</v>
      </c>
      <c r="P19" s="9" t="s">
        <v>45</v>
      </c>
      <c r="Q19" s="9" t="s">
        <v>46</v>
      </c>
      <c r="R19" s="8">
        <v>7</v>
      </c>
    </row>
    <row r="20" spans="1:18">
      <c r="A20" s="7"/>
      <c r="B20" s="7"/>
      <c r="C20" s="8"/>
      <c r="D20" s="8"/>
      <c r="E20" s="8"/>
      <c r="F20" s="8"/>
      <c r="G20" s="7"/>
      <c r="H20" s="7"/>
      <c r="I20" s="8">
        <v>8</v>
      </c>
      <c r="J20" s="7"/>
      <c r="K20" s="26" t="s">
        <v>47</v>
      </c>
      <c r="L20" s="8">
        <f t="shared" si="0"/>
        <v>94</v>
      </c>
      <c r="M20" s="8">
        <v>54</v>
      </c>
      <c r="N20" s="8">
        <v>20</v>
      </c>
      <c r="O20" s="8">
        <v>20</v>
      </c>
      <c r="P20" s="9" t="s">
        <v>48</v>
      </c>
      <c r="Q20" s="9" t="s">
        <v>49</v>
      </c>
      <c r="R20" s="8">
        <v>8</v>
      </c>
    </row>
    <row r="21" spans="1:18">
      <c r="A21" s="7"/>
      <c r="B21" s="7"/>
      <c r="C21" s="8"/>
      <c r="D21" s="8"/>
      <c r="E21" s="8"/>
      <c r="F21" s="8"/>
      <c r="G21" s="7"/>
      <c r="H21" s="7"/>
      <c r="I21" s="8">
        <v>9</v>
      </c>
      <c r="J21" s="7"/>
      <c r="K21" s="26" t="s">
        <v>50</v>
      </c>
      <c r="L21" s="8">
        <f t="shared" si="0"/>
        <v>86</v>
      </c>
      <c r="M21" s="8">
        <v>57</v>
      </c>
      <c r="N21" s="8">
        <v>9</v>
      </c>
      <c r="O21" s="8">
        <v>20</v>
      </c>
      <c r="P21" s="9" t="s">
        <v>51</v>
      </c>
      <c r="Q21" s="9" t="s">
        <v>52</v>
      </c>
      <c r="R21" s="8">
        <v>9</v>
      </c>
    </row>
    <row r="22" spans="1:18">
      <c r="A22" s="7"/>
      <c r="B22" s="7"/>
      <c r="C22" s="8"/>
      <c r="D22" s="8"/>
      <c r="E22" s="8"/>
      <c r="F22" s="8"/>
      <c r="G22" s="7"/>
      <c r="H22" s="7"/>
      <c r="I22" s="8">
        <v>10</v>
      </c>
      <c r="J22" s="7"/>
      <c r="K22" s="26" t="s">
        <v>53</v>
      </c>
      <c r="L22" s="8">
        <f t="shared" si="0"/>
        <v>70</v>
      </c>
      <c r="M22" s="8">
        <v>41</v>
      </c>
      <c r="N22" s="8">
        <v>9</v>
      </c>
      <c r="O22" s="8">
        <v>20</v>
      </c>
      <c r="P22" s="9" t="s">
        <v>54</v>
      </c>
      <c r="Q22" s="9" t="s">
        <v>55</v>
      </c>
      <c r="R22" s="8">
        <v>10</v>
      </c>
    </row>
    <row r="23" spans="1:18">
      <c r="A23" s="7"/>
      <c r="B23" s="7"/>
      <c r="C23" s="8"/>
      <c r="D23" s="8"/>
      <c r="E23" s="8"/>
      <c r="F23" s="8"/>
      <c r="G23" s="7"/>
      <c r="H23" s="7"/>
      <c r="I23" s="8">
        <v>11</v>
      </c>
      <c r="J23" s="7"/>
      <c r="K23" s="26" t="s">
        <v>53</v>
      </c>
      <c r="L23" s="8">
        <f t="shared" si="0"/>
        <v>70</v>
      </c>
      <c r="M23" s="8">
        <v>43</v>
      </c>
      <c r="N23" s="8">
        <v>7</v>
      </c>
      <c r="O23" s="8">
        <v>20</v>
      </c>
      <c r="P23" s="9" t="s">
        <v>56</v>
      </c>
      <c r="Q23" s="9" t="s">
        <v>57</v>
      </c>
      <c r="R23" s="8">
        <v>11</v>
      </c>
    </row>
    <row r="24" spans="1:18">
      <c r="A24" s="7"/>
      <c r="B24" s="7"/>
      <c r="C24" s="8"/>
      <c r="D24" s="8"/>
      <c r="E24" s="8"/>
      <c r="F24" s="8"/>
      <c r="G24" s="7"/>
      <c r="H24" s="7"/>
      <c r="I24" s="8">
        <v>12</v>
      </c>
      <c r="J24" s="7"/>
      <c r="K24" s="26" t="s">
        <v>47</v>
      </c>
      <c r="L24" s="8">
        <f t="shared" si="0"/>
        <v>94</v>
      </c>
      <c r="M24" s="8">
        <v>54</v>
      </c>
      <c r="N24" s="8">
        <v>20</v>
      </c>
      <c r="O24" s="8">
        <v>20</v>
      </c>
      <c r="P24" s="9" t="s">
        <v>58</v>
      </c>
      <c r="Q24" s="9" t="s">
        <v>59</v>
      </c>
      <c r="R24" s="8">
        <v>12</v>
      </c>
    </row>
    <row r="25" spans="1:18">
      <c r="A25" s="7"/>
      <c r="B25" s="7"/>
      <c r="C25" s="8"/>
      <c r="D25" s="8"/>
      <c r="E25" s="8"/>
      <c r="F25" s="8"/>
      <c r="G25" s="7"/>
      <c r="H25" s="7"/>
      <c r="I25" s="8">
        <v>13</v>
      </c>
      <c r="J25" s="7"/>
      <c r="K25" s="26" t="s">
        <v>60</v>
      </c>
      <c r="L25" s="8">
        <f t="shared" si="0"/>
        <v>91</v>
      </c>
      <c r="M25" s="8">
        <v>56</v>
      </c>
      <c r="N25" s="8">
        <v>15</v>
      </c>
      <c r="O25" s="8">
        <v>20</v>
      </c>
      <c r="P25" s="9" t="s">
        <v>61</v>
      </c>
      <c r="Q25" s="9" t="s">
        <v>62</v>
      </c>
      <c r="R25" s="8">
        <v>13</v>
      </c>
    </row>
    <row r="26" spans="1:18">
      <c r="A26" s="7"/>
      <c r="B26" s="7"/>
      <c r="C26" s="8"/>
      <c r="D26" s="8"/>
      <c r="E26" s="8"/>
      <c r="F26" s="8"/>
      <c r="G26" s="7"/>
      <c r="H26" s="7"/>
      <c r="I26" s="8">
        <v>14</v>
      </c>
      <c r="J26" s="7"/>
      <c r="K26" s="26" t="s">
        <v>63</v>
      </c>
      <c r="L26" s="8">
        <f t="shared" si="0"/>
        <v>82</v>
      </c>
      <c r="M26" s="8">
        <v>45</v>
      </c>
      <c r="N26" s="8">
        <v>17</v>
      </c>
      <c r="O26" s="8">
        <v>20</v>
      </c>
      <c r="P26" s="9" t="s">
        <v>64</v>
      </c>
      <c r="Q26" s="9" t="s">
        <v>65</v>
      </c>
      <c r="R26" s="8">
        <v>14</v>
      </c>
    </row>
    <row r="27" spans="1:18">
      <c r="A27" s="7"/>
      <c r="B27" s="7"/>
      <c r="C27" s="8"/>
      <c r="D27" s="8"/>
      <c r="E27" s="8"/>
      <c r="F27" s="8"/>
      <c r="G27" s="7"/>
      <c r="H27" s="7"/>
      <c r="I27" s="8">
        <v>15</v>
      </c>
      <c r="J27" s="7"/>
      <c r="K27" s="26" t="s">
        <v>66</v>
      </c>
      <c r="L27" s="8">
        <f t="shared" si="0"/>
        <v>73</v>
      </c>
      <c r="M27" s="8">
        <v>37</v>
      </c>
      <c r="N27" s="8">
        <v>16</v>
      </c>
      <c r="O27" s="8">
        <v>20</v>
      </c>
      <c r="P27" s="9" t="s">
        <v>54</v>
      </c>
      <c r="Q27" s="9" t="s">
        <v>67</v>
      </c>
      <c r="R27" s="8">
        <v>15</v>
      </c>
    </row>
    <row r="28" spans="1:18">
      <c r="A28" s="7"/>
      <c r="B28" s="7"/>
      <c r="C28" s="8"/>
      <c r="D28" s="8"/>
      <c r="E28" s="8"/>
      <c r="F28" s="8"/>
      <c r="G28" s="7"/>
      <c r="H28" s="7"/>
      <c r="I28" s="8">
        <v>16</v>
      </c>
      <c r="J28" s="7"/>
      <c r="K28" s="26" t="s">
        <v>27</v>
      </c>
      <c r="L28" s="8">
        <f t="shared" si="0"/>
        <v>80</v>
      </c>
      <c r="M28" s="8">
        <v>55</v>
      </c>
      <c r="N28" s="8">
        <v>5</v>
      </c>
      <c r="O28" s="8">
        <v>20</v>
      </c>
      <c r="P28" s="9" t="s">
        <v>68</v>
      </c>
      <c r="Q28" s="9" t="s">
        <v>69</v>
      </c>
      <c r="R28" s="8">
        <v>16</v>
      </c>
    </row>
    <row r="29" spans="1:18">
      <c r="A29" s="7"/>
      <c r="B29" s="7"/>
      <c r="C29" s="8"/>
      <c r="D29" s="8"/>
      <c r="E29" s="8"/>
      <c r="F29" s="8"/>
      <c r="G29" s="7"/>
      <c r="H29" s="7"/>
      <c r="I29" s="8">
        <v>17</v>
      </c>
      <c r="J29" s="7"/>
      <c r="K29" s="26" t="s">
        <v>38</v>
      </c>
      <c r="L29" s="8">
        <f t="shared" si="0"/>
        <v>88</v>
      </c>
      <c r="M29" s="8">
        <v>55</v>
      </c>
      <c r="N29" s="8">
        <v>13</v>
      </c>
      <c r="O29" s="8">
        <v>20</v>
      </c>
      <c r="P29" s="9" t="s">
        <v>70</v>
      </c>
      <c r="Q29" s="9" t="s">
        <v>71</v>
      </c>
      <c r="R29" s="8">
        <v>17</v>
      </c>
    </row>
    <row r="30" spans="1:18">
      <c r="A30" s="7"/>
      <c r="B30" s="7"/>
      <c r="C30" s="8"/>
      <c r="D30" s="8"/>
      <c r="E30" s="8"/>
      <c r="F30" s="8"/>
      <c r="G30" s="7"/>
      <c r="H30" s="7"/>
      <c r="I30" s="8">
        <v>18</v>
      </c>
      <c r="J30" s="7"/>
      <c r="K30" s="26" t="s">
        <v>41</v>
      </c>
      <c r="L30" s="8">
        <f t="shared" si="0"/>
        <v>87</v>
      </c>
      <c r="M30" s="8">
        <v>48</v>
      </c>
      <c r="N30" s="8">
        <v>19</v>
      </c>
      <c r="O30" s="8">
        <v>20</v>
      </c>
      <c r="P30" s="9" t="s">
        <v>72</v>
      </c>
      <c r="Q30" s="9" t="s">
        <v>73</v>
      </c>
      <c r="R30" s="8">
        <v>18</v>
      </c>
    </row>
    <row r="31" spans="1:18">
      <c r="A31" s="7"/>
      <c r="B31" s="7"/>
      <c r="C31" s="8"/>
      <c r="D31" s="8"/>
      <c r="E31" s="8"/>
      <c r="F31" s="8"/>
      <c r="G31" s="7"/>
      <c r="H31" s="7"/>
      <c r="I31" s="8">
        <v>66</v>
      </c>
      <c r="J31" s="7"/>
      <c r="K31" s="7"/>
      <c r="L31" s="8"/>
      <c r="M31" s="8"/>
      <c r="N31" s="8"/>
      <c r="O31" s="8"/>
      <c r="P31" s="9"/>
      <c r="Q31" s="9"/>
      <c r="R31" s="8">
        <v>19</v>
      </c>
    </row>
    <row r="32" spans="1:18">
      <c r="A32" s="7"/>
      <c r="B32" s="7"/>
      <c r="C32" s="8"/>
      <c r="D32" s="8"/>
      <c r="E32" s="8"/>
      <c r="F32" s="8"/>
      <c r="G32" s="7"/>
      <c r="H32" s="7"/>
      <c r="I32" s="8">
        <v>67</v>
      </c>
      <c r="J32" s="7"/>
      <c r="K32" s="7"/>
      <c r="L32" s="8"/>
      <c r="M32" s="8"/>
      <c r="N32" s="8"/>
      <c r="O32" s="8"/>
      <c r="P32" s="9"/>
      <c r="Q32" s="9"/>
      <c r="R32" s="8">
        <v>20</v>
      </c>
    </row>
    <row r="33" spans="1:18" ht="18.5">
      <c r="A33" s="7"/>
      <c r="B33" s="7"/>
      <c r="C33" s="8"/>
      <c r="D33" s="8"/>
      <c r="E33" s="8"/>
      <c r="F33" s="8"/>
      <c r="G33" s="7"/>
      <c r="H33" s="7"/>
      <c r="I33" s="8">
        <v>68</v>
      </c>
      <c r="J33" s="7"/>
      <c r="K33" s="7"/>
      <c r="L33" s="8"/>
      <c r="M33" s="8"/>
      <c r="N33" s="8"/>
      <c r="O33" s="8"/>
      <c r="P33" s="10"/>
      <c r="Q33" s="10"/>
      <c r="R33" s="8">
        <v>21</v>
      </c>
    </row>
    <row r="34" spans="1:18" ht="18.5">
      <c r="A34" s="7"/>
      <c r="B34" s="7"/>
      <c r="C34" s="8"/>
      <c r="D34" s="8"/>
      <c r="E34" s="8"/>
      <c r="F34" s="8"/>
      <c r="G34" s="7"/>
      <c r="H34" s="7"/>
      <c r="I34" s="8">
        <v>69</v>
      </c>
      <c r="J34" s="7"/>
      <c r="K34" s="7"/>
      <c r="L34" s="8"/>
      <c r="M34" s="8"/>
      <c r="N34" s="8"/>
      <c r="O34" s="8"/>
      <c r="P34" s="10"/>
      <c r="Q34" s="10"/>
      <c r="R34" s="8">
        <v>27</v>
      </c>
    </row>
    <row r="35" spans="1:18" ht="18.5">
      <c r="A35" s="7"/>
      <c r="B35" s="7"/>
      <c r="C35" s="8"/>
      <c r="D35" s="8"/>
      <c r="E35" s="8"/>
      <c r="F35" s="8"/>
      <c r="G35" s="7"/>
      <c r="H35" s="7"/>
      <c r="I35" s="8">
        <v>70</v>
      </c>
      <c r="J35" s="7"/>
      <c r="K35" s="7"/>
      <c r="L35" s="8"/>
      <c r="M35" s="8"/>
      <c r="N35" s="8"/>
      <c r="O35" s="8"/>
      <c r="P35" s="10"/>
      <c r="Q35" s="10"/>
      <c r="R35" s="8">
        <v>32</v>
      </c>
    </row>
    <row r="36" spans="1:18" ht="18.5">
      <c r="A36" s="7"/>
      <c r="B36" s="7"/>
      <c r="C36" s="8"/>
      <c r="D36" s="8"/>
      <c r="E36" s="8"/>
      <c r="F36" s="8"/>
      <c r="G36" s="7"/>
      <c r="H36" s="7"/>
      <c r="I36" s="8">
        <v>71</v>
      </c>
      <c r="J36" s="7"/>
      <c r="K36" s="7"/>
      <c r="L36" s="8"/>
      <c r="M36" s="8"/>
      <c r="N36" s="8"/>
      <c r="O36" s="8"/>
      <c r="P36" s="10"/>
      <c r="Q36" s="10"/>
      <c r="R36" s="8">
        <v>33</v>
      </c>
    </row>
    <row r="37" spans="1:18">
      <c r="A37" s="7"/>
      <c r="B37" s="7"/>
      <c r="C37" s="8"/>
      <c r="D37" s="8"/>
      <c r="E37" s="8"/>
      <c r="F37" s="8"/>
      <c r="G37" s="7"/>
      <c r="H37" s="7"/>
      <c r="I37" s="8">
        <v>72</v>
      </c>
      <c r="J37" s="7"/>
      <c r="K37" s="7"/>
      <c r="L37" s="8"/>
      <c r="M37" s="8"/>
      <c r="N37" s="8"/>
      <c r="O37" s="8"/>
      <c r="P37" s="9"/>
      <c r="Q37" s="9"/>
      <c r="R37" s="8">
        <v>34</v>
      </c>
    </row>
    <row r="38" spans="1:18">
      <c r="A38" s="7"/>
      <c r="B38" s="7"/>
      <c r="C38" s="8"/>
      <c r="D38" s="8"/>
      <c r="E38" s="8"/>
      <c r="F38" s="8"/>
      <c r="G38" s="7"/>
      <c r="H38" s="7"/>
      <c r="I38" s="8">
        <v>73</v>
      </c>
      <c r="J38" s="7"/>
      <c r="K38" s="7"/>
      <c r="L38" s="8"/>
      <c r="M38" s="8"/>
      <c r="N38" s="8"/>
      <c r="O38" s="8"/>
      <c r="P38" s="9"/>
      <c r="Q38" s="9"/>
      <c r="R38" s="8">
        <v>35</v>
      </c>
    </row>
    <row r="39" spans="1:18">
      <c r="A39" s="7"/>
      <c r="B39" s="7"/>
      <c r="C39" s="8"/>
      <c r="D39" s="8"/>
      <c r="E39" s="8"/>
      <c r="F39" s="8"/>
      <c r="G39" s="7"/>
      <c r="H39" s="7"/>
      <c r="I39" s="8">
        <v>74</v>
      </c>
      <c r="J39" s="7"/>
      <c r="K39" s="7"/>
      <c r="L39" s="8"/>
      <c r="M39" s="8"/>
      <c r="N39" s="8"/>
      <c r="O39" s="8"/>
      <c r="P39" s="9"/>
      <c r="Q39" s="9"/>
      <c r="R39" s="8">
        <v>36</v>
      </c>
    </row>
    <row r="40" spans="1:18">
      <c r="A40" s="7"/>
      <c r="B40" s="7"/>
      <c r="C40" s="8"/>
      <c r="D40" s="8"/>
      <c r="E40" s="8"/>
      <c r="F40" s="8"/>
      <c r="G40" s="7"/>
      <c r="H40" s="7"/>
      <c r="I40" s="8">
        <v>75</v>
      </c>
      <c r="J40" s="7"/>
      <c r="K40" s="7"/>
      <c r="L40" s="8"/>
      <c r="M40" s="8"/>
      <c r="N40" s="8"/>
      <c r="O40" s="8"/>
      <c r="P40" s="9"/>
      <c r="Q40" s="9"/>
      <c r="R40" s="8">
        <v>37</v>
      </c>
    </row>
    <row r="41" spans="1:18">
      <c r="A41" s="7"/>
      <c r="B41" s="7"/>
      <c r="C41" s="8"/>
      <c r="D41" s="8"/>
      <c r="E41" s="8"/>
      <c r="F41" s="8"/>
      <c r="G41" s="7"/>
      <c r="H41" s="7"/>
      <c r="I41" s="8">
        <v>76</v>
      </c>
      <c r="J41" s="7"/>
      <c r="K41" s="7"/>
      <c r="L41" s="8"/>
      <c r="M41" s="8"/>
      <c r="N41" s="8"/>
      <c r="O41" s="8"/>
      <c r="P41" s="9"/>
      <c r="Q41" s="9"/>
      <c r="R41" s="8">
        <v>38</v>
      </c>
    </row>
    <row r="42" spans="1:18">
      <c r="A42" s="28" t="s">
        <v>74</v>
      </c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</row>
    <row r="43" spans="1:18">
      <c r="E43" s="11" t="s">
        <v>75</v>
      </c>
      <c r="M43" s="11" t="s">
        <v>76</v>
      </c>
    </row>
  </sheetData>
  <mergeCells count="30">
    <mergeCell ref="A1:R1"/>
    <mergeCell ref="A2:R2"/>
    <mergeCell ref="A3:R3"/>
    <mergeCell ref="A4:R4"/>
    <mergeCell ref="A5:R5"/>
    <mergeCell ref="A6:R6"/>
    <mergeCell ref="B7:D7"/>
    <mergeCell ref="G7:I7"/>
    <mergeCell ref="L7:O7"/>
    <mergeCell ref="A9:D9"/>
    <mergeCell ref="E9:F9"/>
    <mergeCell ref="H9:J9"/>
    <mergeCell ref="L9:O9"/>
    <mergeCell ref="P9:Q9"/>
    <mergeCell ref="A42:R42"/>
    <mergeCell ref="A10:R10"/>
    <mergeCell ref="A11:A12"/>
    <mergeCell ref="B11:C11"/>
    <mergeCell ref="D11:D12"/>
    <mergeCell ref="E11:E12"/>
    <mergeCell ref="F11:F12"/>
    <mergeCell ref="G11:H11"/>
    <mergeCell ref="I11:I12"/>
    <mergeCell ref="J11:J12"/>
    <mergeCell ref="K11:L11"/>
    <mergeCell ref="M11:M12"/>
    <mergeCell ref="N11:N12"/>
    <mergeCell ref="O11:O12"/>
    <mergeCell ref="P11:Q11"/>
    <mergeCell ref="R11:R12"/>
  </mergeCells>
  <pageMargins left="0.32291666666666702" right="0.40625" top="0.15625" bottom="0.114583333333333" header="0.511811023622047" footer="0.511811023622047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3"/>
  <sheetViews>
    <sheetView topLeftCell="A11" zoomScaleNormal="100" workbookViewId="0">
      <selection activeCell="N30" sqref="N30"/>
    </sheetView>
  </sheetViews>
  <sheetFormatPr defaultColWidth="9.1796875" defaultRowHeight="14.5"/>
  <cols>
    <col min="1" max="1" width="3.7265625" customWidth="1"/>
    <col min="2" max="3" width="4.7265625" customWidth="1"/>
    <col min="4" max="6" width="4" customWidth="1"/>
    <col min="7" max="8" width="9.453125" customWidth="1"/>
    <col min="9" max="9" width="3.54296875" style="1" customWidth="1"/>
    <col min="10" max="10" width="3.7265625" customWidth="1"/>
    <col min="11" max="12" width="4.7265625" customWidth="1"/>
    <col min="13" max="15" width="3.81640625" customWidth="1"/>
    <col min="16" max="17" width="10.453125" customWidth="1"/>
    <col min="18" max="18" width="3.7265625" style="1" customWidth="1"/>
  </cols>
  <sheetData>
    <row r="1" spans="1:18" ht="14.25" customHeight="1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</row>
    <row r="2" spans="1:18" ht="14.25" customHeight="1">
      <c r="A2" s="29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</row>
    <row r="3" spans="1:18" ht="14.25" customHeight="1">
      <c r="A3" s="29" t="s">
        <v>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</row>
    <row r="4" spans="1:18" ht="14.25" customHeight="1">
      <c r="A4" s="29" t="s">
        <v>3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</row>
    <row r="5" spans="1:18" ht="14.25" customHeight="1">
      <c r="A5" s="29" t="s">
        <v>4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</row>
    <row r="6" spans="1:18" ht="14.25" customHeight="1">
      <c r="A6" s="36" t="s">
        <v>5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</row>
    <row r="7" spans="1:18" ht="15.75" customHeight="1">
      <c r="B7" s="37" t="s">
        <v>6</v>
      </c>
      <c r="C7" s="37"/>
      <c r="D7" s="37"/>
      <c r="G7" s="38" t="s">
        <v>7</v>
      </c>
      <c r="H7" s="38"/>
      <c r="I7" s="38"/>
      <c r="J7" s="2"/>
      <c r="K7" s="1"/>
      <c r="L7" s="39" t="s">
        <v>8</v>
      </c>
      <c r="M7" s="39"/>
      <c r="N7" s="39"/>
      <c r="O7" s="39"/>
      <c r="P7" s="3" t="s">
        <v>9</v>
      </c>
      <c r="Q7" s="4" t="s">
        <v>10</v>
      </c>
    </row>
    <row r="8" spans="1:18" ht="6.75" customHeight="1"/>
    <row r="9" spans="1:18">
      <c r="A9" s="40" t="s">
        <v>11</v>
      </c>
      <c r="B9" s="40"/>
      <c r="C9" s="40"/>
      <c r="D9" s="40"/>
      <c r="E9" s="41" t="s">
        <v>12</v>
      </c>
      <c r="F9" s="41"/>
      <c r="H9" s="41" t="s">
        <v>13</v>
      </c>
      <c r="I9" s="41"/>
      <c r="J9" s="41"/>
      <c r="L9" s="42" t="s">
        <v>77</v>
      </c>
      <c r="M9" s="42"/>
      <c r="N9" s="42"/>
      <c r="O9" s="42"/>
      <c r="P9" s="43" t="s">
        <v>78</v>
      </c>
      <c r="Q9" s="43"/>
    </row>
    <row r="10" spans="1:18" ht="7.5" customHeight="1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</row>
    <row r="11" spans="1:18" ht="19.5" customHeight="1">
      <c r="A11" s="30" t="s">
        <v>16</v>
      </c>
      <c r="B11" s="31" t="s">
        <v>17</v>
      </c>
      <c r="C11" s="31"/>
      <c r="D11" s="32" t="s">
        <v>18</v>
      </c>
      <c r="E11" s="32" t="s">
        <v>19</v>
      </c>
      <c r="F11" s="30" t="s">
        <v>20</v>
      </c>
      <c r="G11" s="33" t="s">
        <v>21</v>
      </c>
      <c r="H11" s="33"/>
      <c r="I11" s="34" t="s">
        <v>22</v>
      </c>
      <c r="J11" s="30" t="s">
        <v>16</v>
      </c>
      <c r="K11" s="35" t="s">
        <v>17</v>
      </c>
      <c r="L11" s="35"/>
      <c r="M11" s="32" t="s">
        <v>18</v>
      </c>
      <c r="N11" s="32" t="s">
        <v>19</v>
      </c>
      <c r="O11" s="30" t="s">
        <v>20</v>
      </c>
      <c r="P11" s="33" t="s">
        <v>21</v>
      </c>
      <c r="Q11" s="33"/>
      <c r="R11" s="34" t="s">
        <v>22</v>
      </c>
    </row>
    <row r="12" spans="1:18" ht="25.5" customHeight="1">
      <c r="A12" s="30"/>
      <c r="B12" s="6" t="s">
        <v>23</v>
      </c>
      <c r="C12" s="6" t="s">
        <v>24</v>
      </c>
      <c r="D12" s="32"/>
      <c r="E12" s="32"/>
      <c r="F12" s="32"/>
      <c r="G12" s="5" t="s">
        <v>25</v>
      </c>
      <c r="H12" s="5" t="s">
        <v>26</v>
      </c>
      <c r="I12" s="34"/>
      <c r="J12" s="34"/>
      <c r="K12" s="6" t="s">
        <v>23</v>
      </c>
      <c r="L12" s="6" t="s">
        <v>24</v>
      </c>
      <c r="M12" s="32"/>
      <c r="N12" s="32"/>
      <c r="O12" s="32"/>
      <c r="P12" s="5" t="s">
        <v>25</v>
      </c>
      <c r="Q12" s="5" t="s">
        <v>26</v>
      </c>
      <c r="R12" s="34"/>
    </row>
    <row r="13" spans="1:18">
      <c r="A13" s="7"/>
      <c r="B13" s="7"/>
      <c r="C13" s="8"/>
      <c r="D13" s="8"/>
      <c r="E13" s="8"/>
      <c r="F13" s="8"/>
      <c r="G13" s="7"/>
      <c r="H13" s="7"/>
      <c r="I13" s="8">
        <v>1</v>
      </c>
      <c r="J13" s="7"/>
      <c r="K13" s="26" t="s">
        <v>60</v>
      </c>
      <c r="L13" s="8">
        <f t="shared" ref="L13:L30" si="0">SUM(M13:O13)</f>
        <v>91</v>
      </c>
      <c r="M13" s="8">
        <v>53</v>
      </c>
      <c r="N13" s="8">
        <v>18</v>
      </c>
      <c r="O13" s="8">
        <v>20</v>
      </c>
      <c r="P13" s="9" t="s">
        <v>28</v>
      </c>
      <c r="Q13" s="9" t="s">
        <v>29</v>
      </c>
      <c r="R13" s="8">
        <v>1</v>
      </c>
    </row>
    <row r="14" spans="1:18">
      <c r="A14" s="7"/>
      <c r="B14" s="7"/>
      <c r="C14" s="8"/>
      <c r="D14" s="8"/>
      <c r="E14" s="8"/>
      <c r="F14" s="8"/>
      <c r="G14" s="7"/>
      <c r="H14" s="7"/>
      <c r="I14" s="8">
        <v>2</v>
      </c>
      <c r="J14" s="7"/>
      <c r="K14" s="26" t="s">
        <v>79</v>
      </c>
      <c r="L14" s="8">
        <f t="shared" si="0"/>
        <v>76</v>
      </c>
      <c r="M14" s="8">
        <v>38</v>
      </c>
      <c r="N14" s="8">
        <v>18</v>
      </c>
      <c r="O14" s="8">
        <v>20</v>
      </c>
      <c r="P14" s="9" t="s">
        <v>30</v>
      </c>
      <c r="Q14" s="9" t="s">
        <v>31</v>
      </c>
      <c r="R14" s="8">
        <v>2</v>
      </c>
    </row>
    <row r="15" spans="1:18">
      <c r="A15" s="7"/>
      <c r="B15" s="7"/>
      <c r="C15" s="8"/>
      <c r="D15" s="8"/>
      <c r="E15" s="8"/>
      <c r="F15" s="8"/>
      <c r="G15" s="7"/>
      <c r="H15" s="7"/>
      <c r="I15" s="8">
        <v>3</v>
      </c>
      <c r="J15" s="7"/>
      <c r="K15" s="26" t="s">
        <v>80</v>
      </c>
      <c r="L15" s="8">
        <f t="shared" si="0"/>
        <v>60</v>
      </c>
      <c r="M15" s="8">
        <v>33</v>
      </c>
      <c r="N15" s="8">
        <v>7</v>
      </c>
      <c r="O15" s="8">
        <v>20</v>
      </c>
      <c r="P15" s="9" t="s">
        <v>33</v>
      </c>
      <c r="Q15" s="9" t="s">
        <v>34</v>
      </c>
      <c r="R15" s="8">
        <v>3</v>
      </c>
    </row>
    <row r="16" spans="1:18">
      <c r="A16" s="7"/>
      <c r="B16" s="7"/>
      <c r="C16" s="8"/>
      <c r="D16" s="8"/>
      <c r="E16" s="8"/>
      <c r="F16" s="8"/>
      <c r="G16" s="7"/>
      <c r="H16" s="7"/>
      <c r="I16" s="8">
        <v>4</v>
      </c>
      <c r="J16" s="7"/>
      <c r="K16" s="26" t="s">
        <v>81</v>
      </c>
      <c r="L16" s="8">
        <f t="shared" si="0"/>
        <v>100</v>
      </c>
      <c r="M16" s="8">
        <v>60</v>
      </c>
      <c r="N16" s="8">
        <v>20</v>
      </c>
      <c r="O16" s="8">
        <v>20</v>
      </c>
      <c r="P16" s="9" t="s">
        <v>36</v>
      </c>
      <c r="Q16" s="9" t="s">
        <v>37</v>
      </c>
      <c r="R16" s="8">
        <v>4</v>
      </c>
    </row>
    <row r="17" spans="1:18">
      <c r="A17" s="7"/>
      <c r="B17" s="7"/>
      <c r="C17" s="8"/>
      <c r="D17" s="8"/>
      <c r="E17" s="8"/>
      <c r="F17" s="8"/>
      <c r="G17" s="7"/>
      <c r="H17" s="7"/>
      <c r="I17" s="8">
        <v>5</v>
      </c>
      <c r="J17" s="7"/>
      <c r="K17" s="26" t="s">
        <v>32</v>
      </c>
      <c r="L17" s="8">
        <f t="shared" si="0"/>
        <v>92</v>
      </c>
      <c r="M17" s="8">
        <v>52</v>
      </c>
      <c r="N17" s="8">
        <v>20</v>
      </c>
      <c r="O17" s="8">
        <v>20</v>
      </c>
      <c r="P17" s="9" t="s">
        <v>39</v>
      </c>
      <c r="Q17" s="9" t="s">
        <v>40</v>
      </c>
      <c r="R17" s="8">
        <v>5</v>
      </c>
    </row>
    <row r="18" spans="1:18">
      <c r="A18" s="7"/>
      <c r="B18" s="7"/>
      <c r="C18" s="8"/>
      <c r="D18" s="8"/>
      <c r="E18" s="8"/>
      <c r="F18" s="8"/>
      <c r="G18" s="7"/>
      <c r="H18" s="7"/>
      <c r="I18" s="8">
        <v>6</v>
      </c>
      <c r="J18" s="7"/>
      <c r="K18" s="26" t="s">
        <v>38</v>
      </c>
      <c r="L18" s="8">
        <f t="shared" si="0"/>
        <v>88</v>
      </c>
      <c r="M18" s="8">
        <v>54</v>
      </c>
      <c r="N18" s="8">
        <v>14</v>
      </c>
      <c r="O18" s="8">
        <v>20</v>
      </c>
      <c r="P18" s="9" t="s">
        <v>42</v>
      </c>
      <c r="Q18" s="9" t="s">
        <v>43</v>
      </c>
      <c r="R18" s="8">
        <v>6</v>
      </c>
    </row>
    <row r="19" spans="1:18">
      <c r="A19" s="7"/>
      <c r="B19" s="7"/>
      <c r="C19" s="8"/>
      <c r="D19" s="8"/>
      <c r="E19" s="8"/>
      <c r="F19" s="8"/>
      <c r="G19" s="7"/>
      <c r="H19" s="7"/>
      <c r="I19" s="8">
        <v>7</v>
      </c>
      <c r="J19" s="7"/>
      <c r="K19" s="26" t="s">
        <v>27</v>
      </c>
      <c r="L19" s="8">
        <f t="shared" si="0"/>
        <v>80</v>
      </c>
      <c r="M19" s="8">
        <v>55</v>
      </c>
      <c r="N19" s="8">
        <v>5</v>
      </c>
      <c r="O19" s="8">
        <v>20</v>
      </c>
      <c r="P19" s="9" t="s">
        <v>45</v>
      </c>
      <c r="Q19" s="9" t="s">
        <v>46</v>
      </c>
      <c r="R19" s="8">
        <v>7</v>
      </c>
    </row>
    <row r="20" spans="1:18">
      <c r="A20" s="7"/>
      <c r="B20" s="7"/>
      <c r="C20" s="8"/>
      <c r="D20" s="8"/>
      <c r="E20" s="8"/>
      <c r="F20" s="8"/>
      <c r="G20" s="7"/>
      <c r="H20" s="7"/>
      <c r="I20" s="8">
        <v>8</v>
      </c>
      <c r="J20" s="7"/>
      <c r="K20" s="26" t="s">
        <v>82</v>
      </c>
      <c r="L20" s="8">
        <f t="shared" si="0"/>
        <v>90</v>
      </c>
      <c r="M20" s="8">
        <v>58</v>
      </c>
      <c r="N20" s="8">
        <v>12</v>
      </c>
      <c r="O20" s="8">
        <v>20</v>
      </c>
      <c r="P20" s="9" t="s">
        <v>48</v>
      </c>
      <c r="Q20" s="9" t="s">
        <v>49</v>
      </c>
      <c r="R20" s="8">
        <v>8</v>
      </c>
    </row>
    <row r="21" spans="1:18">
      <c r="A21" s="7"/>
      <c r="B21" s="7"/>
      <c r="C21" s="8"/>
      <c r="D21" s="8"/>
      <c r="E21" s="8"/>
      <c r="F21" s="8"/>
      <c r="G21" s="7"/>
      <c r="H21" s="7"/>
      <c r="I21" s="8">
        <v>9</v>
      </c>
      <c r="J21" s="7"/>
      <c r="K21" s="26" t="s">
        <v>81</v>
      </c>
      <c r="L21" s="8">
        <f t="shared" si="0"/>
        <v>100</v>
      </c>
      <c r="M21" s="8">
        <v>60</v>
      </c>
      <c r="N21" s="8">
        <v>20</v>
      </c>
      <c r="O21" s="8">
        <v>20</v>
      </c>
      <c r="P21" s="9" t="s">
        <v>51</v>
      </c>
      <c r="Q21" s="9" t="s">
        <v>52</v>
      </c>
      <c r="R21" s="8">
        <v>9</v>
      </c>
    </row>
    <row r="22" spans="1:18">
      <c r="A22" s="7"/>
      <c r="B22" s="7"/>
      <c r="C22" s="8"/>
      <c r="D22" s="8"/>
      <c r="E22" s="8"/>
      <c r="F22" s="8"/>
      <c r="G22" s="7"/>
      <c r="H22" s="7"/>
      <c r="I22" s="8">
        <v>10</v>
      </c>
      <c r="J22" s="7"/>
      <c r="K22" s="26" t="s">
        <v>83</v>
      </c>
      <c r="L22" s="8">
        <f t="shared" si="0"/>
        <v>77</v>
      </c>
      <c r="M22" s="8">
        <v>38</v>
      </c>
      <c r="N22" s="8">
        <v>19</v>
      </c>
      <c r="O22" s="8">
        <v>20</v>
      </c>
      <c r="P22" s="9" t="s">
        <v>54</v>
      </c>
      <c r="Q22" s="9" t="s">
        <v>55</v>
      </c>
      <c r="R22" s="8">
        <v>10</v>
      </c>
    </row>
    <row r="23" spans="1:18">
      <c r="A23" s="7"/>
      <c r="B23" s="7"/>
      <c r="C23" s="8"/>
      <c r="D23" s="8"/>
      <c r="E23" s="8"/>
      <c r="F23" s="8"/>
      <c r="G23" s="7"/>
      <c r="H23" s="7"/>
      <c r="I23" s="8">
        <v>11</v>
      </c>
      <c r="J23" s="7"/>
      <c r="K23" s="26" t="s">
        <v>84</v>
      </c>
      <c r="L23" s="8">
        <f t="shared" si="0"/>
        <v>84</v>
      </c>
      <c r="M23" s="8">
        <v>54</v>
      </c>
      <c r="N23" s="8">
        <v>10</v>
      </c>
      <c r="O23" s="8">
        <v>20</v>
      </c>
      <c r="P23" s="9" t="s">
        <v>56</v>
      </c>
      <c r="Q23" s="9" t="s">
        <v>57</v>
      </c>
      <c r="R23" s="8">
        <v>11</v>
      </c>
    </row>
    <row r="24" spans="1:18">
      <c r="A24" s="7"/>
      <c r="B24" s="7"/>
      <c r="C24" s="8"/>
      <c r="D24" s="8"/>
      <c r="E24" s="8"/>
      <c r="F24" s="8"/>
      <c r="G24" s="7"/>
      <c r="H24" s="7"/>
      <c r="I24" s="8">
        <v>12</v>
      </c>
      <c r="J24" s="7"/>
      <c r="K24" s="26" t="s">
        <v>85</v>
      </c>
      <c r="L24" s="8">
        <f t="shared" si="0"/>
        <v>74</v>
      </c>
      <c r="M24" s="8">
        <v>44</v>
      </c>
      <c r="N24" s="8">
        <v>10</v>
      </c>
      <c r="O24" s="8">
        <v>20</v>
      </c>
      <c r="P24" s="9" t="s">
        <v>58</v>
      </c>
      <c r="Q24" s="9" t="s">
        <v>59</v>
      </c>
      <c r="R24" s="8">
        <v>12</v>
      </c>
    </row>
    <row r="25" spans="1:18">
      <c r="A25" s="7"/>
      <c r="B25" s="7"/>
      <c r="C25" s="8"/>
      <c r="D25" s="8"/>
      <c r="E25" s="8"/>
      <c r="F25" s="8"/>
      <c r="G25" s="7"/>
      <c r="H25" s="7"/>
      <c r="I25" s="8">
        <v>13</v>
      </c>
      <c r="J25" s="7"/>
      <c r="K25" s="26" t="s">
        <v>81</v>
      </c>
      <c r="L25" s="8">
        <f t="shared" si="0"/>
        <v>100</v>
      </c>
      <c r="M25" s="8">
        <v>60</v>
      </c>
      <c r="N25" s="8">
        <v>20</v>
      </c>
      <c r="O25" s="8">
        <v>20</v>
      </c>
      <c r="P25" s="9" t="s">
        <v>61</v>
      </c>
      <c r="Q25" s="9" t="s">
        <v>62</v>
      </c>
      <c r="R25" s="8">
        <v>13</v>
      </c>
    </row>
    <row r="26" spans="1:18">
      <c r="A26" s="7"/>
      <c r="B26" s="7"/>
      <c r="C26" s="8"/>
      <c r="D26" s="8"/>
      <c r="E26" s="8"/>
      <c r="F26" s="8"/>
      <c r="G26" s="7"/>
      <c r="H26" s="7"/>
      <c r="I26" s="8">
        <v>14</v>
      </c>
      <c r="J26" s="7"/>
      <c r="K26" s="26" t="s">
        <v>38</v>
      </c>
      <c r="L26" s="8">
        <f t="shared" si="0"/>
        <v>88</v>
      </c>
      <c r="M26" s="8">
        <v>54</v>
      </c>
      <c r="N26" s="8">
        <v>14</v>
      </c>
      <c r="O26" s="8">
        <v>20</v>
      </c>
      <c r="P26" s="9" t="s">
        <v>64</v>
      </c>
      <c r="Q26" s="9" t="s">
        <v>65</v>
      </c>
      <c r="R26" s="8">
        <v>14</v>
      </c>
    </row>
    <row r="27" spans="1:18">
      <c r="A27" s="7"/>
      <c r="B27" s="7"/>
      <c r="C27" s="8"/>
      <c r="D27" s="8"/>
      <c r="E27" s="8"/>
      <c r="F27" s="8"/>
      <c r="G27" s="7"/>
      <c r="H27" s="7"/>
      <c r="I27" s="8">
        <v>15</v>
      </c>
      <c r="J27" s="7"/>
      <c r="K27" s="26" t="s">
        <v>50</v>
      </c>
      <c r="L27" s="8">
        <f t="shared" si="0"/>
        <v>86</v>
      </c>
      <c r="M27" s="8">
        <v>54</v>
      </c>
      <c r="N27" s="8">
        <v>12</v>
      </c>
      <c r="O27" s="8">
        <v>20</v>
      </c>
      <c r="P27" s="9" t="s">
        <v>54</v>
      </c>
      <c r="Q27" s="9" t="s">
        <v>67</v>
      </c>
      <c r="R27" s="8">
        <v>15</v>
      </c>
    </row>
    <row r="28" spans="1:18">
      <c r="A28" s="7"/>
      <c r="B28" s="7"/>
      <c r="C28" s="8"/>
      <c r="D28" s="8"/>
      <c r="E28" s="8"/>
      <c r="F28" s="8"/>
      <c r="G28" s="7"/>
      <c r="H28" s="7"/>
      <c r="I28" s="8">
        <v>16</v>
      </c>
      <c r="J28" s="7"/>
      <c r="K28" s="26" t="s">
        <v>53</v>
      </c>
      <c r="L28" s="8">
        <f t="shared" si="0"/>
        <v>70</v>
      </c>
      <c r="M28" s="8">
        <v>37</v>
      </c>
      <c r="N28" s="8">
        <v>13</v>
      </c>
      <c r="O28" s="8">
        <v>20</v>
      </c>
      <c r="P28" s="9" t="s">
        <v>68</v>
      </c>
      <c r="Q28" s="9" t="s">
        <v>69</v>
      </c>
      <c r="R28" s="8">
        <v>16</v>
      </c>
    </row>
    <row r="29" spans="1:18">
      <c r="A29" s="7"/>
      <c r="B29" s="7"/>
      <c r="C29" s="8"/>
      <c r="D29" s="8"/>
      <c r="E29" s="8"/>
      <c r="F29" s="8"/>
      <c r="G29" s="7"/>
      <c r="H29" s="7"/>
      <c r="I29" s="8">
        <v>17</v>
      </c>
      <c r="J29" s="7"/>
      <c r="K29" s="26" t="s">
        <v>27</v>
      </c>
      <c r="L29" s="8">
        <f t="shared" si="0"/>
        <v>80</v>
      </c>
      <c r="M29" s="8">
        <v>45</v>
      </c>
      <c r="N29" s="8">
        <v>15</v>
      </c>
      <c r="O29" s="8">
        <v>20</v>
      </c>
      <c r="P29" s="9" t="s">
        <v>70</v>
      </c>
      <c r="Q29" s="9" t="s">
        <v>71</v>
      </c>
      <c r="R29" s="8">
        <v>17</v>
      </c>
    </row>
    <row r="30" spans="1:18">
      <c r="A30" s="7"/>
      <c r="B30" s="7"/>
      <c r="C30" s="8"/>
      <c r="D30" s="8"/>
      <c r="E30" s="8"/>
      <c r="F30" s="8"/>
      <c r="G30" s="7"/>
      <c r="H30" s="7"/>
      <c r="I30" s="8">
        <v>18</v>
      </c>
      <c r="J30" s="7"/>
      <c r="K30" s="26" t="s">
        <v>84</v>
      </c>
      <c r="L30" s="8">
        <f t="shared" si="0"/>
        <v>84</v>
      </c>
      <c r="M30" s="8">
        <v>58</v>
      </c>
      <c r="N30" s="8">
        <v>6</v>
      </c>
      <c r="O30" s="8">
        <v>20</v>
      </c>
      <c r="P30" s="9" t="s">
        <v>72</v>
      </c>
      <c r="Q30" s="9" t="s">
        <v>73</v>
      </c>
      <c r="R30" s="8">
        <v>18</v>
      </c>
    </row>
    <row r="31" spans="1:18">
      <c r="A31" s="7"/>
      <c r="B31" s="7"/>
      <c r="C31" s="8"/>
      <c r="D31" s="8"/>
      <c r="E31" s="8"/>
      <c r="F31" s="8"/>
      <c r="G31" s="7"/>
      <c r="H31" s="7"/>
      <c r="I31" s="8">
        <v>66</v>
      </c>
      <c r="J31" s="7"/>
      <c r="K31" s="7"/>
      <c r="L31" s="8">
        <v>0</v>
      </c>
      <c r="M31" s="8"/>
      <c r="N31" s="8"/>
      <c r="O31" s="8"/>
      <c r="P31" s="9"/>
      <c r="Q31" s="9"/>
      <c r="R31" s="8">
        <v>19</v>
      </c>
    </row>
    <row r="32" spans="1:18">
      <c r="A32" s="7"/>
      <c r="B32" s="7"/>
      <c r="C32" s="8"/>
      <c r="D32" s="8"/>
      <c r="E32" s="8"/>
      <c r="F32" s="8"/>
      <c r="G32" s="7"/>
      <c r="H32" s="7"/>
      <c r="I32" s="8">
        <v>67</v>
      </c>
      <c r="J32" s="7"/>
      <c r="K32" s="7"/>
      <c r="L32" s="8"/>
      <c r="M32" s="8"/>
      <c r="N32" s="8"/>
      <c r="O32" s="8"/>
      <c r="P32" s="9"/>
      <c r="Q32" s="9"/>
      <c r="R32" s="8">
        <v>20</v>
      </c>
    </row>
    <row r="33" spans="1:18" ht="18.5">
      <c r="A33" s="7"/>
      <c r="B33" s="7"/>
      <c r="C33" s="8"/>
      <c r="D33" s="8"/>
      <c r="E33" s="8"/>
      <c r="F33" s="8"/>
      <c r="G33" s="7"/>
      <c r="H33" s="7"/>
      <c r="I33" s="8">
        <v>68</v>
      </c>
      <c r="J33" s="7"/>
      <c r="K33" s="7"/>
      <c r="L33" s="8"/>
      <c r="M33" s="8"/>
      <c r="N33" s="8"/>
      <c r="O33" s="8"/>
      <c r="P33" s="10"/>
      <c r="Q33" s="10"/>
      <c r="R33" s="8">
        <v>21</v>
      </c>
    </row>
    <row r="34" spans="1:18" ht="18.5">
      <c r="A34" s="7"/>
      <c r="B34" s="7"/>
      <c r="C34" s="8"/>
      <c r="D34" s="8"/>
      <c r="E34" s="8"/>
      <c r="F34" s="8"/>
      <c r="G34" s="7"/>
      <c r="H34" s="7"/>
      <c r="I34" s="8">
        <v>69</v>
      </c>
      <c r="J34" s="7"/>
      <c r="K34" s="7"/>
      <c r="L34" s="8"/>
      <c r="M34" s="8"/>
      <c r="N34" s="8"/>
      <c r="O34" s="8"/>
      <c r="P34" s="10"/>
      <c r="Q34" s="10"/>
      <c r="R34" s="8">
        <v>22</v>
      </c>
    </row>
    <row r="35" spans="1:18" ht="18.5">
      <c r="A35" s="7"/>
      <c r="B35" s="7"/>
      <c r="C35" s="8"/>
      <c r="D35" s="8"/>
      <c r="E35" s="8"/>
      <c r="F35" s="8"/>
      <c r="G35" s="7"/>
      <c r="H35" s="7"/>
      <c r="I35" s="8">
        <v>70</v>
      </c>
      <c r="J35" s="7"/>
      <c r="K35" s="7"/>
      <c r="L35" s="8"/>
      <c r="M35" s="8"/>
      <c r="N35" s="8"/>
      <c r="O35" s="8"/>
      <c r="P35" s="10"/>
      <c r="Q35" s="10"/>
      <c r="R35" s="8">
        <v>23</v>
      </c>
    </row>
    <row r="36" spans="1:18" ht="18.5">
      <c r="A36" s="7"/>
      <c r="B36" s="7"/>
      <c r="C36" s="8"/>
      <c r="D36" s="8"/>
      <c r="E36" s="8"/>
      <c r="F36" s="8"/>
      <c r="G36" s="7"/>
      <c r="H36" s="7"/>
      <c r="I36" s="8">
        <v>71</v>
      </c>
      <c r="J36" s="7"/>
      <c r="K36" s="7"/>
      <c r="L36" s="8"/>
      <c r="M36" s="8"/>
      <c r="N36" s="8"/>
      <c r="O36" s="8"/>
      <c r="P36" s="10"/>
      <c r="Q36" s="10"/>
      <c r="R36" s="8">
        <v>29</v>
      </c>
    </row>
    <row r="37" spans="1:18">
      <c r="A37" s="7"/>
      <c r="B37" s="7"/>
      <c r="C37" s="8"/>
      <c r="D37" s="8"/>
      <c r="E37" s="8"/>
      <c r="F37" s="8"/>
      <c r="G37" s="7"/>
      <c r="H37" s="7"/>
      <c r="I37" s="8">
        <v>72</v>
      </c>
      <c r="J37" s="7"/>
      <c r="K37" s="7"/>
      <c r="L37" s="8"/>
      <c r="M37" s="8"/>
      <c r="N37" s="8"/>
      <c r="O37" s="8"/>
      <c r="P37" s="9"/>
      <c r="Q37" s="9"/>
      <c r="R37" s="8">
        <v>30</v>
      </c>
    </row>
    <row r="38" spans="1:18">
      <c r="A38" s="7"/>
      <c r="B38" s="7"/>
      <c r="C38" s="8"/>
      <c r="D38" s="8"/>
      <c r="E38" s="8"/>
      <c r="F38" s="8"/>
      <c r="G38" s="7"/>
      <c r="H38" s="7"/>
      <c r="I38" s="8">
        <v>73</v>
      </c>
      <c r="J38" s="7"/>
      <c r="K38" s="7"/>
      <c r="L38" s="8"/>
      <c r="M38" s="8"/>
      <c r="N38" s="8"/>
      <c r="O38" s="8"/>
      <c r="P38" s="9"/>
      <c r="Q38" s="9"/>
      <c r="R38" s="8">
        <v>31</v>
      </c>
    </row>
    <row r="39" spans="1:18">
      <c r="A39" s="7"/>
      <c r="B39" s="7"/>
      <c r="C39" s="8"/>
      <c r="D39" s="8"/>
      <c r="E39" s="8"/>
      <c r="F39" s="8"/>
      <c r="G39" s="7"/>
      <c r="H39" s="7"/>
      <c r="I39" s="8">
        <v>74</v>
      </c>
      <c r="J39" s="7"/>
      <c r="K39" s="7"/>
      <c r="L39" s="8"/>
      <c r="M39" s="8"/>
      <c r="N39" s="8"/>
      <c r="O39" s="8"/>
      <c r="P39" s="9"/>
      <c r="Q39" s="9"/>
      <c r="R39" s="8">
        <v>32</v>
      </c>
    </row>
    <row r="40" spans="1:18">
      <c r="A40" s="7"/>
      <c r="B40" s="7"/>
      <c r="C40" s="8"/>
      <c r="D40" s="8"/>
      <c r="E40" s="8"/>
      <c r="F40" s="8"/>
      <c r="G40" s="7"/>
      <c r="H40" s="7"/>
      <c r="I40" s="8">
        <v>75</v>
      </c>
      <c r="J40" s="7"/>
      <c r="K40" s="7"/>
      <c r="L40" s="8"/>
      <c r="M40" s="8"/>
      <c r="N40" s="8"/>
      <c r="O40" s="8"/>
      <c r="P40" s="9"/>
      <c r="Q40" s="9"/>
      <c r="R40" s="8">
        <v>33</v>
      </c>
    </row>
    <row r="41" spans="1:18">
      <c r="A41" s="7"/>
      <c r="B41" s="7"/>
      <c r="C41" s="8"/>
      <c r="D41" s="8"/>
      <c r="E41" s="8"/>
      <c r="F41" s="8"/>
      <c r="G41" s="7"/>
      <c r="H41" s="7"/>
      <c r="I41" s="8">
        <v>76</v>
      </c>
      <c r="J41" s="7"/>
      <c r="K41" s="7"/>
      <c r="L41" s="8"/>
      <c r="M41" s="8"/>
      <c r="N41" s="8"/>
      <c r="O41" s="8"/>
      <c r="P41" s="9"/>
      <c r="Q41" s="9"/>
      <c r="R41" s="8">
        <v>34</v>
      </c>
    </row>
    <row r="42" spans="1:18">
      <c r="A42" s="44" t="s">
        <v>74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</row>
    <row r="43" spans="1:18">
      <c r="E43" s="11" t="s">
        <v>75</v>
      </c>
      <c r="M43" s="11" t="s">
        <v>76</v>
      </c>
    </row>
  </sheetData>
  <mergeCells count="30">
    <mergeCell ref="A1:R1"/>
    <mergeCell ref="A2:R2"/>
    <mergeCell ref="A3:R3"/>
    <mergeCell ref="A4:R4"/>
    <mergeCell ref="A5:R5"/>
    <mergeCell ref="A6:R6"/>
    <mergeCell ref="B7:D7"/>
    <mergeCell ref="G7:I7"/>
    <mergeCell ref="L7:O7"/>
    <mergeCell ref="A9:D9"/>
    <mergeCell ref="E9:F9"/>
    <mergeCell ref="H9:J9"/>
    <mergeCell ref="L9:O9"/>
    <mergeCell ref="P9:Q9"/>
    <mergeCell ref="A42:R42"/>
    <mergeCell ref="A10:R10"/>
    <mergeCell ref="A11:A12"/>
    <mergeCell ref="B11:C11"/>
    <mergeCell ref="D11:D12"/>
    <mergeCell ref="E11:E12"/>
    <mergeCell ref="F11:F12"/>
    <mergeCell ref="G11:H11"/>
    <mergeCell ref="I11:I12"/>
    <mergeCell ref="J11:J12"/>
    <mergeCell ref="K11:L11"/>
    <mergeCell ref="M11:M12"/>
    <mergeCell ref="N11:N12"/>
    <mergeCell ref="O11:O12"/>
    <mergeCell ref="P11:Q11"/>
    <mergeCell ref="R11:R12"/>
  </mergeCells>
  <pageMargins left="0.25" right="0.46875" top="0.15625" bottom="0.114583333333333" header="0.511811023622047" footer="0.511811023622047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3"/>
  <sheetViews>
    <sheetView zoomScaleNormal="100" workbookViewId="0">
      <selection activeCell="O19" sqref="O19"/>
    </sheetView>
  </sheetViews>
  <sheetFormatPr defaultColWidth="9.1796875" defaultRowHeight="14.5"/>
  <cols>
    <col min="1" max="1" width="3.7265625" customWidth="1"/>
    <col min="2" max="3" width="4.7265625" customWidth="1"/>
    <col min="4" max="6" width="4.1796875" customWidth="1"/>
    <col min="7" max="8" width="9.54296875" customWidth="1"/>
    <col min="9" max="9" width="3.54296875" style="1" customWidth="1"/>
    <col min="10" max="10" width="3.7265625" customWidth="1"/>
    <col min="11" max="12" width="4.7265625" customWidth="1"/>
    <col min="13" max="15" width="4" customWidth="1"/>
    <col min="16" max="17" width="10.7265625" customWidth="1"/>
    <col min="18" max="18" width="3.7265625" style="1" customWidth="1"/>
  </cols>
  <sheetData>
    <row r="1" spans="1:18" ht="12.75" customHeight="1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</row>
    <row r="2" spans="1:18" ht="12.75" customHeight="1">
      <c r="A2" s="29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</row>
    <row r="3" spans="1:18" ht="12.75" customHeight="1">
      <c r="A3" s="29" t="s">
        <v>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</row>
    <row r="4" spans="1:18" ht="12.75" customHeight="1">
      <c r="A4" s="29" t="s">
        <v>3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</row>
    <row r="5" spans="1:18" ht="12.75" customHeight="1">
      <c r="A5" s="29" t="s">
        <v>4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</row>
    <row r="6" spans="1:18" ht="12.75" customHeight="1">
      <c r="A6" s="36" t="s">
        <v>5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</row>
    <row r="7" spans="1:18" ht="15.75" customHeight="1">
      <c r="B7" s="37" t="s">
        <v>6</v>
      </c>
      <c r="C7" s="37"/>
      <c r="D7" s="37"/>
      <c r="G7" s="38" t="s">
        <v>7</v>
      </c>
      <c r="H7" s="38"/>
      <c r="I7" s="38"/>
      <c r="J7" s="2"/>
      <c r="K7" s="1"/>
      <c r="L7" s="39" t="s">
        <v>8</v>
      </c>
      <c r="M7" s="39"/>
      <c r="N7" s="39"/>
      <c r="O7" s="39"/>
      <c r="P7" s="3" t="s">
        <v>9</v>
      </c>
      <c r="Q7" s="4" t="s">
        <v>10</v>
      </c>
    </row>
    <row r="8" spans="1:18" ht="6.75" customHeight="1"/>
    <row r="9" spans="1:18">
      <c r="A9" s="40" t="s">
        <v>86</v>
      </c>
      <c r="B9" s="40"/>
      <c r="C9" s="40"/>
      <c r="D9" s="40"/>
      <c r="E9" s="41" t="s">
        <v>12</v>
      </c>
      <c r="F9" s="41"/>
      <c r="H9" s="41" t="s">
        <v>13</v>
      </c>
      <c r="I9" s="41"/>
      <c r="J9" s="41"/>
      <c r="L9" s="42" t="s">
        <v>87</v>
      </c>
      <c r="M9" s="42"/>
      <c r="N9" s="42"/>
      <c r="O9" s="42"/>
      <c r="P9" s="43" t="s">
        <v>88</v>
      </c>
      <c r="Q9" s="43"/>
    </row>
    <row r="10" spans="1:18" ht="7.5" customHeight="1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</row>
    <row r="11" spans="1:18" ht="21" customHeight="1">
      <c r="A11" s="30" t="s">
        <v>16</v>
      </c>
      <c r="B11" s="31" t="s">
        <v>17</v>
      </c>
      <c r="C11" s="31"/>
      <c r="D11" s="32" t="s">
        <v>18</v>
      </c>
      <c r="E11" s="32" t="s">
        <v>19</v>
      </c>
      <c r="F11" s="30" t="s">
        <v>20</v>
      </c>
      <c r="G11" s="33" t="s">
        <v>21</v>
      </c>
      <c r="H11" s="33"/>
      <c r="I11" s="34" t="s">
        <v>22</v>
      </c>
      <c r="J11" s="30" t="s">
        <v>16</v>
      </c>
      <c r="K11" s="35" t="s">
        <v>17</v>
      </c>
      <c r="L11" s="35"/>
      <c r="M11" s="32" t="s">
        <v>18</v>
      </c>
      <c r="N11" s="32" t="s">
        <v>19</v>
      </c>
      <c r="O11" s="30" t="s">
        <v>20</v>
      </c>
      <c r="P11" s="33" t="s">
        <v>21</v>
      </c>
      <c r="Q11" s="33"/>
      <c r="R11" s="34" t="s">
        <v>22</v>
      </c>
    </row>
    <row r="12" spans="1:18" ht="25.5" customHeight="1">
      <c r="A12" s="30"/>
      <c r="B12" s="6" t="s">
        <v>23</v>
      </c>
      <c r="C12" s="6" t="s">
        <v>24</v>
      </c>
      <c r="D12" s="32"/>
      <c r="E12" s="32"/>
      <c r="F12" s="32"/>
      <c r="G12" s="5" t="s">
        <v>25</v>
      </c>
      <c r="H12" s="5" t="s">
        <v>26</v>
      </c>
      <c r="I12" s="34"/>
      <c r="J12" s="34"/>
      <c r="K12" s="6" t="s">
        <v>23</v>
      </c>
      <c r="L12" s="6" t="s">
        <v>24</v>
      </c>
      <c r="M12" s="32"/>
      <c r="N12" s="32"/>
      <c r="O12" s="32"/>
      <c r="P12" s="5" t="s">
        <v>25</v>
      </c>
      <c r="Q12" s="5" t="s">
        <v>26</v>
      </c>
      <c r="R12" s="34"/>
    </row>
    <row r="13" spans="1:18">
      <c r="A13" s="7"/>
      <c r="B13" s="7"/>
      <c r="C13" s="8"/>
      <c r="D13" s="8"/>
      <c r="E13" s="8"/>
      <c r="F13" s="8"/>
      <c r="G13" s="7"/>
      <c r="H13" s="7"/>
      <c r="I13" s="8">
        <v>1</v>
      </c>
      <c r="J13" s="7"/>
      <c r="K13" s="26" t="s">
        <v>89</v>
      </c>
      <c r="L13" s="8">
        <f t="shared" ref="L13:L30" si="0">SUM(M13:O13)</f>
        <v>83</v>
      </c>
      <c r="M13" s="8">
        <v>43</v>
      </c>
      <c r="N13" s="8">
        <v>20</v>
      </c>
      <c r="O13" s="8">
        <v>20</v>
      </c>
      <c r="P13" s="9" t="s">
        <v>28</v>
      </c>
      <c r="Q13" s="9" t="s">
        <v>29</v>
      </c>
      <c r="R13" s="8">
        <v>1</v>
      </c>
    </row>
    <row r="14" spans="1:18">
      <c r="A14" s="7"/>
      <c r="B14" s="7"/>
      <c r="C14" s="8"/>
      <c r="D14" s="8"/>
      <c r="E14" s="8"/>
      <c r="F14" s="8"/>
      <c r="G14" s="7"/>
      <c r="H14" s="7"/>
      <c r="I14" s="8">
        <v>2</v>
      </c>
      <c r="J14" s="7"/>
      <c r="K14" s="26" t="s">
        <v>83</v>
      </c>
      <c r="L14" s="8">
        <f t="shared" si="0"/>
        <v>77</v>
      </c>
      <c r="M14" s="8">
        <v>47</v>
      </c>
      <c r="N14" s="8">
        <v>10</v>
      </c>
      <c r="O14" s="8">
        <v>20</v>
      </c>
      <c r="P14" s="9" t="s">
        <v>30</v>
      </c>
      <c r="Q14" s="9" t="s">
        <v>31</v>
      </c>
      <c r="R14" s="8">
        <v>2</v>
      </c>
    </row>
    <row r="15" spans="1:18">
      <c r="A15" s="7"/>
      <c r="B15" s="7"/>
      <c r="C15" s="8"/>
      <c r="D15" s="8"/>
      <c r="E15" s="8"/>
      <c r="F15" s="8"/>
      <c r="G15" s="7"/>
      <c r="H15" s="7"/>
      <c r="I15" s="8">
        <v>3</v>
      </c>
      <c r="J15" s="7"/>
      <c r="K15" s="26" t="s">
        <v>90</v>
      </c>
      <c r="L15" s="8">
        <f t="shared" si="0"/>
        <v>98</v>
      </c>
      <c r="M15" s="8">
        <v>58</v>
      </c>
      <c r="N15" s="8">
        <v>20</v>
      </c>
      <c r="O15" s="8">
        <v>20</v>
      </c>
      <c r="P15" s="9" t="s">
        <v>33</v>
      </c>
      <c r="Q15" s="9" t="s">
        <v>34</v>
      </c>
      <c r="R15" s="8">
        <v>3</v>
      </c>
    </row>
    <row r="16" spans="1:18">
      <c r="A16" s="7"/>
      <c r="B16" s="7"/>
      <c r="C16" s="8"/>
      <c r="D16" s="8"/>
      <c r="E16" s="8"/>
      <c r="F16" s="8"/>
      <c r="G16" s="7"/>
      <c r="H16" s="7"/>
      <c r="I16" s="8">
        <v>4</v>
      </c>
      <c r="J16" s="7"/>
      <c r="K16" s="26" t="s">
        <v>90</v>
      </c>
      <c r="L16" s="8">
        <f t="shared" si="0"/>
        <v>98</v>
      </c>
      <c r="M16" s="8">
        <v>59</v>
      </c>
      <c r="N16" s="8">
        <v>19</v>
      </c>
      <c r="O16" s="8">
        <v>20</v>
      </c>
      <c r="P16" s="9" t="s">
        <v>36</v>
      </c>
      <c r="Q16" s="9" t="s">
        <v>37</v>
      </c>
      <c r="R16" s="8">
        <v>4</v>
      </c>
    </row>
    <row r="17" spans="1:18">
      <c r="A17" s="7"/>
      <c r="B17" s="7"/>
      <c r="C17" s="8"/>
      <c r="D17" s="8"/>
      <c r="E17" s="8"/>
      <c r="F17" s="8"/>
      <c r="G17" s="7"/>
      <c r="H17" s="7"/>
      <c r="I17" s="8">
        <v>5</v>
      </c>
      <c r="J17" s="7"/>
      <c r="K17" s="26" t="s">
        <v>82</v>
      </c>
      <c r="L17" s="8">
        <f t="shared" si="0"/>
        <v>90</v>
      </c>
      <c r="M17" s="8">
        <v>58</v>
      </c>
      <c r="N17" s="8">
        <v>12</v>
      </c>
      <c r="O17" s="8">
        <v>20</v>
      </c>
      <c r="P17" s="9" t="s">
        <v>39</v>
      </c>
      <c r="Q17" s="9" t="s">
        <v>40</v>
      </c>
      <c r="R17" s="8">
        <v>5</v>
      </c>
    </row>
    <row r="18" spans="1:18">
      <c r="A18" s="7"/>
      <c r="B18" s="7"/>
      <c r="C18" s="8"/>
      <c r="D18" s="8"/>
      <c r="E18" s="8"/>
      <c r="F18" s="8"/>
      <c r="G18" s="7"/>
      <c r="H18" s="7"/>
      <c r="I18" s="8">
        <v>6</v>
      </c>
      <c r="J18" s="7"/>
      <c r="K18" s="26" t="s">
        <v>80</v>
      </c>
      <c r="L18" s="8">
        <f t="shared" si="0"/>
        <v>60</v>
      </c>
      <c r="M18" s="8">
        <v>28</v>
      </c>
      <c r="N18" s="8">
        <v>12</v>
      </c>
      <c r="O18" s="8">
        <v>20</v>
      </c>
      <c r="P18" s="9" t="s">
        <v>42</v>
      </c>
      <c r="Q18" s="9" t="s">
        <v>43</v>
      </c>
      <c r="R18" s="8">
        <v>6</v>
      </c>
    </row>
    <row r="19" spans="1:18">
      <c r="A19" s="7"/>
      <c r="B19" s="7"/>
      <c r="C19" s="8"/>
      <c r="D19" s="8"/>
      <c r="E19" s="8"/>
      <c r="F19" s="8"/>
      <c r="G19" s="7"/>
      <c r="H19" s="7"/>
      <c r="I19" s="8">
        <v>7</v>
      </c>
      <c r="J19" s="7"/>
      <c r="K19" s="26" t="s">
        <v>91</v>
      </c>
      <c r="L19" s="8">
        <f t="shared" si="0"/>
        <v>85</v>
      </c>
      <c r="M19" s="8">
        <v>47</v>
      </c>
      <c r="N19" s="8">
        <v>18</v>
      </c>
      <c r="O19" s="8">
        <v>20</v>
      </c>
      <c r="P19" s="9" t="s">
        <v>45</v>
      </c>
      <c r="Q19" s="9" t="s">
        <v>46</v>
      </c>
      <c r="R19" s="8">
        <v>7</v>
      </c>
    </row>
    <row r="20" spans="1:18">
      <c r="A20" s="7"/>
      <c r="B20" s="7"/>
      <c r="C20" s="8"/>
      <c r="D20" s="8"/>
      <c r="E20" s="8"/>
      <c r="F20" s="8"/>
      <c r="G20" s="7"/>
      <c r="H20" s="7"/>
      <c r="I20" s="8">
        <v>8</v>
      </c>
      <c r="J20" s="7"/>
      <c r="K20" s="26" t="s">
        <v>82</v>
      </c>
      <c r="L20" s="8">
        <f t="shared" si="0"/>
        <v>90</v>
      </c>
      <c r="M20" s="8">
        <v>59</v>
      </c>
      <c r="N20" s="8">
        <v>11</v>
      </c>
      <c r="O20" s="8">
        <v>20</v>
      </c>
      <c r="P20" s="9" t="s">
        <v>48</v>
      </c>
      <c r="Q20" s="9" t="s">
        <v>49</v>
      </c>
      <c r="R20" s="8">
        <v>8</v>
      </c>
    </row>
    <row r="21" spans="1:18">
      <c r="A21" s="7"/>
      <c r="B21" s="7"/>
      <c r="C21" s="8"/>
      <c r="D21" s="8"/>
      <c r="E21" s="8"/>
      <c r="F21" s="8"/>
      <c r="G21" s="7"/>
      <c r="H21" s="7"/>
      <c r="I21" s="8">
        <v>9</v>
      </c>
      <c r="J21" s="7"/>
      <c r="K21" s="26" t="s">
        <v>84</v>
      </c>
      <c r="L21" s="8">
        <f t="shared" si="0"/>
        <v>84</v>
      </c>
      <c r="M21" s="8">
        <v>57</v>
      </c>
      <c r="N21" s="8">
        <v>7</v>
      </c>
      <c r="O21" s="8">
        <v>20</v>
      </c>
      <c r="P21" s="9" t="s">
        <v>51</v>
      </c>
      <c r="Q21" s="9" t="s">
        <v>52</v>
      </c>
      <c r="R21" s="8">
        <v>9</v>
      </c>
    </row>
    <row r="22" spans="1:18">
      <c r="A22" s="7"/>
      <c r="B22" s="7"/>
      <c r="C22" s="8"/>
      <c r="D22" s="8"/>
      <c r="E22" s="8"/>
      <c r="F22" s="8"/>
      <c r="G22" s="7"/>
      <c r="H22" s="7"/>
      <c r="I22" s="8">
        <v>10</v>
      </c>
      <c r="J22" s="7"/>
      <c r="K22" s="26" t="s">
        <v>27</v>
      </c>
      <c r="L22" s="8">
        <f t="shared" si="0"/>
        <v>80</v>
      </c>
      <c r="M22" s="8">
        <v>50</v>
      </c>
      <c r="N22" s="8">
        <v>10</v>
      </c>
      <c r="O22" s="8">
        <v>20</v>
      </c>
      <c r="P22" s="9" t="s">
        <v>54</v>
      </c>
      <c r="Q22" s="9" t="s">
        <v>55</v>
      </c>
      <c r="R22" s="8">
        <v>10</v>
      </c>
    </row>
    <row r="23" spans="1:18">
      <c r="A23" s="7"/>
      <c r="B23" s="7"/>
      <c r="C23" s="8"/>
      <c r="D23" s="8"/>
      <c r="E23" s="8"/>
      <c r="F23" s="8"/>
      <c r="G23" s="7"/>
      <c r="H23" s="7"/>
      <c r="I23" s="8">
        <v>11</v>
      </c>
      <c r="J23" s="7"/>
      <c r="K23" s="26" t="s">
        <v>81</v>
      </c>
      <c r="L23" s="8">
        <f t="shared" si="0"/>
        <v>100</v>
      </c>
      <c r="M23" s="8">
        <v>60</v>
      </c>
      <c r="N23" s="8">
        <v>20</v>
      </c>
      <c r="O23" s="8">
        <v>20</v>
      </c>
      <c r="P23" s="9" t="s">
        <v>56</v>
      </c>
      <c r="Q23" s="9" t="s">
        <v>57</v>
      </c>
      <c r="R23" s="8">
        <v>11</v>
      </c>
    </row>
    <row r="24" spans="1:18">
      <c r="A24" s="7"/>
      <c r="B24" s="7"/>
      <c r="C24" s="8"/>
      <c r="D24" s="8"/>
      <c r="E24" s="8"/>
      <c r="F24" s="8"/>
      <c r="G24" s="7"/>
      <c r="H24" s="7"/>
      <c r="I24" s="8">
        <v>12</v>
      </c>
      <c r="J24" s="7"/>
      <c r="K24" s="26" t="s">
        <v>91</v>
      </c>
      <c r="L24" s="8">
        <f t="shared" si="0"/>
        <v>85</v>
      </c>
      <c r="M24" s="8">
        <v>54</v>
      </c>
      <c r="N24" s="8">
        <v>11</v>
      </c>
      <c r="O24" s="8">
        <v>20</v>
      </c>
      <c r="P24" s="9" t="s">
        <v>58</v>
      </c>
      <c r="Q24" s="9" t="s">
        <v>59</v>
      </c>
      <c r="R24" s="8">
        <v>12</v>
      </c>
    </row>
    <row r="25" spans="1:18">
      <c r="A25" s="7"/>
      <c r="B25" s="7"/>
      <c r="C25" s="8"/>
      <c r="D25" s="8"/>
      <c r="E25" s="8"/>
      <c r="F25" s="8"/>
      <c r="G25" s="7"/>
      <c r="H25" s="7"/>
      <c r="I25" s="8">
        <v>13</v>
      </c>
      <c r="J25" s="7"/>
      <c r="K25" s="26" t="s">
        <v>90</v>
      </c>
      <c r="L25" s="8">
        <f t="shared" si="0"/>
        <v>98</v>
      </c>
      <c r="M25" s="8">
        <v>59</v>
      </c>
      <c r="N25" s="8">
        <v>19</v>
      </c>
      <c r="O25" s="8">
        <v>20</v>
      </c>
      <c r="P25" s="9" t="s">
        <v>61</v>
      </c>
      <c r="Q25" s="9" t="s">
        <v>62</v>
      </c>
      <c r="R25" s="8">
        <v>13</v>
      </c>
    </row>
    <row r="26" spans="1:18">
      <c r="A26" s="7"/>
      <c r="B26" s="7"/>
      <c r="C26" s="8"/>
      <c r="D26" s="8"/>
      <c r="E26" s="8"/>
      <c r="F26" s="8"/>
      <c r="G26" s="7"/>
      <c r="H26" s="7"/>
      <c r="I26" s="8">
        <v>14</v>
      </c>
      <c r="J26" s="7"/>
      <c r="K26" s="26" t="s">
        <v>53</v>
      </c>
      <c r="L26" s="8">
        <f t="shared" si="0"/>
        <v>70</v>
      </c>
      <c r="M26" s="8">
        <v>43</v>
      </c>
      <c r="N26" s="8">
        <v>7</v>
      </c>
      <c r="O26" s="8">
        <v>20</v>
      </c>
      <c r="P26" s="9" t="s">
        <v>64</v>
      </c>
      <c r="Q26" s="9" t="s">
        <v>65</v>
      </c>
      <c r="R26" s="8">
        <v>14</v>
      </c>
    </row>
    <row r="27" spans="1:18">
      <c r="A27" s="7"/>
      <c r="B27" s="7"/>
      <c r="C27" s="8"/>
      <c r="D27" s="8"/>
      <c r="E27" s="8"/>
      <c r="F27" s="8"/>
      <c r="G27" s="7"/>
      <c r="H27" s="7"/>
      <c r="I27" s="8">
        <v>15</v>
      </c>
      <c r="J27" s="7"/>
      <c r="K27" s="26" t="s">
        <v>92</v>
      </c>
      <c r="L27" s="8">
        <f t="shared" si="0"/>
        <v>99</v>
      </c>
      <c r="M27" s="8">
        <v>59</v>
      </c>
      <c r="N27" s="8">
        <v>20</v>
      </c>
      <c r="O27" s="8">
        <v>20</v>
      </c>
      <c r="P27" s="9" t="s">
        <v>54</v>
      </c>
      <c r="Q27" s="9" t="s">
        <v>67</v>
      </c>
      <c r="R27" s="8">
        <v>15</v>
      </c>
    </row>
    <row r="28" spans="1:18">
      <c r="A28" s="7"/>
      <c r="B28" s="7"/>
      <c r="C28" s="8"/>
      <c r="D28" s="8"/>
      <c r="E28" s="8"/>
      <c r="F28" s="8"/>
      <c r="G28" s="7"/>
      <c r="H28" s="7"/>
      <c r="I28" s="8">
        <v>16</v>
      </c>
      <c r="J28" s="7"/>
      <c r="K28" s="26" t="s">
        <v>53</v>
      </c>
      <c r="L28" s="8">
        <f t="shared" si="0"/>
        <v>70</v>
      </c>
      <c r="M28" s="8">
        <v>36</v>
      </c>
      <c r="N28" s="8">
        <v>14</v>
      </c>
      <c r="O28" s="8">
        <v>20</v>
      </c>
      <c r="P28" s="9" t="s">
        <v>68</v>
      </c>
      <c r="Q28" s="9" t="s">
        <v>69</v>
      </c>
      <c r="R28" s="8">
        <v>16</v>
      </c>
    </row>
    <row r="29" spans="1:18">
      <c r="A29" s="7"/>
      <c r="B29" s="7"/>
      <c r="C29" s="8"/>
      <c r="D29" s="8"/>
      <c r="E29" s="8"/>
      <c r="F29" s="8"/>
      <c r="G29" s="7"/>
      <c r="H29" s="7"/>
      <c r="I29" s="8">
        <v>17</v>
      </c>
      <c r="J29" s="7"/>
      <c r="K29" s="26" t="s">
        <v>32</v>
      </c>
      <c r="L29" s="8">
        <f t="shared" si="0"/>
        <v>92</v>
      </c>
      <c r="M29" s="8">
        <v>60</v>
      </c>
      <c r="N29" s="8">
        <v>12</v>
      </c>
      <c r="O29" s="8">
        <v>20</v>
      </c>
      <c r="P29" s="9" t="s">
        <v>70</v>
      </c>
      <c r="Q29" s="9" t="s">
        <v>71</v>
      </c>
      <c r="R29" s="8">
        <v>17</v>
      </c>
    </row>
    <row r="30" spans="1:18">
      <c r="A30" s="7"/>
      <c r="B30" s="7"/>
      <c r="C30" s="8"/>
      <c r="D30" s="8"/>
      <c r="E30" s="8"/>
      <c r="F30" s="8"/>
      <c r="G30" s="7"/>
      <c r="H30" s="7"/>
      <c r="I30" s="8">
        <v>18</v>
      </c>
      <c r="J30" s="7"/>
      <c r="K30" s="26" t="s">
        <v>92</v>
      </c>
      <c r="L30" s="8">
        <f t="shared" si="0"/>
        <v>99</v>
      </c>
      <c r="M30" s="8">
        <v>59</v>
      </c>
      <c r="N30" s="8">
        <v>20</v>
      </c>
      <c r="O30" s="8">
        <v>20</v>
      </c>
      <c r="P30" s="9" t="s">
        <v>72</v>
      </c>
      <c r="Q30" s="9" t="s">
        <v>73</v>
      </c>
      <c r="R30" s="8">
        <v>18</v>
      </c>
    </row>
    <row r="31" spans="1:18">
      <c r="A31" s="7"/>
      <c r="B31" s="7"/>
      <c r="C31" s="8"/>
      <c r="D31" s="8"/>
      <c r="E31" s="8"/>
      <c r="F31" s="8"/>
      <c r="G31" s="7"/>
      <c r="H31" s="7"/>
      <c r="I31" s="8">
        <v>66</v>
      </c>
      <c r="J31" s="7"/>
      <c r="K31" s="7"/>
      <c r="L31" s="8"/>
      <c r="M31" s="8"/>
      <c r="N31" s="8"/>
      <c r="O31" s="8"/>
      <c r="P31" s="9"/>
      <c r="Q31" s="9"/>
      <c r="R31" s="8">
        <v>19</v>
      </c>
    </row>
    <row r="32" spans="1:18">
      <c r="A32" s="7"/>
      <c r="B32" s="7"/>
      <c r="C32" s="8"/>
      <c r="D32" s="8"/>
      <c r="E32" s="8"/>
      <c r="F32" s="8"/>
      <c r="G32" s="7"/>
      <c r="H32" s="7"/>
      <c r="I32" s="8">
        <v>67</v>
      </c>
      <c r="J32" s="7"/>
      <c r="K32" s="7"/>
      <c r="L32" s="8"/>
      <c r="M32" s="8"/>
      <c r="N32" s="8"/>
      <c r="O32" s="8"/>
      <c r="P32" s="9"/>
      <c r="Q32" s="9"/>
      <c r="R32" s="8">
        <v>20</v>
      </c>
    </row>
    <row r="33" spans="1:18" ht="18.5">
      <c r="A33" s="7"/>
      <c r="B33" s="7"/>
      <c r="C33" s="8"/>
      <c r="D33" s="8"/>
      <c r="E33" s="8"/>
      <c r="F33" s="8"/>
      <c r="G33" s="7"/>
      <c r="H33" s="7"/>
      <c r="I33" s="8">
        <v>68</v>
      </c>
      <c r="J33" s="7"/>
      <c r="K33" s="7"/>
      <c r="L33" s="8"/>
      <c r="M33" s="8"/>
      <c r="N33" s="8"/>
      <c r="O33" s="8"/>
      <c r="P33" s="10"/>
      <c r="Q33" s="10"/>
      <c r="R33" s="8">
        <v>21</v>
      </c>
    </row>
    <row r="34" spans="1:18" ht="18.5">
      <c r="A34" s="7"/>
      <c r="B34" s="7"/>
      <c r="C34" s="8"/>
      <c r="D34" s="8"/>
      <c r="E34" s="8"/>
      <c r="F34" s="8"/>
      <c r="G34" s="7"/>
      <c r="H34" s="7"/>
      <c r="I34" s="8">
        <v>69</v>
      </c>
      <c r="J34" s="7"/>
      <c r="K34" s="7"/>
      <c r="L34" s="8"/>
      <c r="M34" s="8"/>
      <c r="N34" s="8"/>
      <c r="O34" s="8"/>
      <c r="P34" s="10"/>
      <c r="Q34" s="10"/>
      <c r="R34" s="8">
        <v>22</v>
      </c>
    </row>
    <row r="35" spans="1:18" ht="18.5">
      <c r="A35" s="7"/>
      <c r="B35" s="7"/>
      <c r="C35" s="8"/>
      <c r="D35" s="8"/>
      <c r="E35" s="8"/>
      <c r="F35" s="8"/>
      <c r="G35" s="7"/>
      <c r="H35" s="7"/>
      <c r="I35" s="8">
        <v>70</v>
      </c>
      <c r="J35" s="7"/>
      <c r="K35" s="7"/>
      <c r="L35" s="8"/>
      <c r="M35" s="8"/>
      <c r="N35" s="8"/>
      <c r="O35" s="8"/>
      <c r="P35" s="10"/>
      <c r="Q35" s="10"/>
      <c r="R35" s="8">
        <v>23</v>
      </c>
    </row>
    <row r="36" spans="1:18" ht="18.5">
      <c r="A36" s="7"/>
      <c r="B36" s="7"/>
      <c r="C36" s="8"/>
      <c r="D36" s="8"/>
      <c r="E36" s="8"/>
      <c r="F36" s="8"/>
      <c r="G36" s="7"/>
      <c r="H36" s="7"/>
      <c r="I36" s="8">
        <v>71</v>
      </c>
      <c r="J36" s="7"/>
      <c r="K36" s="7"/>
      <c r="L36" s="8"/>
      <c r="M36" s="8"/>
      <c r="N36" s="8"/>
      <c r="O36" s="8"/>
      <c r="P36" s="10"/>
      <c r="Q36" s="10"/>
      <c r="R36" s="8">
        <v>24</v>
      </c>
    </row>
    <row r="37" spans="1:18">
      <c r="A37" s="7"/>
      <c r="B37" s="7"/>
      <c r="C37" s="8"/>
      <c r="D37" s="8"/>
      <c r="E37" s="8"/>
      <c r="F37" s="8"/>
      <c r="G37" s="7"/>
      <c r="H37" s="7"/>
      <c r="I37" s="8">
        <v>72</v>
      </c>
      <c r="J37" s="7"/>
      <c r="K37" s="7"/>
      <c r="L37" s="8"/>
      <c r="M37" s="8"/>
      <c r="N37" s="8"/>
      <c r="O37" s="8"/>
      <c r="P37" s="9"/>
      <c r="Q37" s="9"/>
      <c r="R37" s="8">
        <v>25</v>
      </c>
    </row>
    <row r="38" spans="1:18">
      <c r="A38" s="7"/>
      <c r="B38" s="7"/>
      <c r="C38" s="8"/>
      <c r="D38" s="8"/>
      <c r="E38" s="8"/>
      <c r="F38" s="8"/>
      <c r="G38" s="7"/>
      <c r="H38" s="7"/>
      <c r="I38" s="8">
        <v>73</v>
      </c>
      <c r="J38" s="7"/>
      <c r="K38" s="7"/>
      <c r="L38" s="8"/>
      <c r="M38" s="8"/>
      <c r="N38" s="8"/>
      <c r="O38" s="8"/>
      <c r="P38" s="9"/>
      <c r="Q38" s="9"/>
      <c r="R38" s="8">
        <v>26</v>
      </c>
    </row>
    <row r="39" spans="1:18">
      <c r="A39" s="7"/>
      <c r="B39" s="7"/>
      <c r="C39" s="8"/>
      <c r="D39" s="8"/>
      <c r="E39" s="8"/>
      <c r="F39" s="8"/>
      <c r="G39" s="7"/>
      <c r="H39" s="7"/>
      <c r="I39" s="8">
        <v>74</v>
      </c>
      <c r="J39" s="7"/>
      <c r="K39" s="7"/>
      <c r="L39" s="8"/>
      <c r="M39" s="8"/>
      <c r="N39" s="8"/>
      <c r="O39" s="8"/>
      <c r="P39" s="9"/>
      <c r="Q39" s="9"/>
      <c r="R39" s="8">
        <v>27</v>
      </c>
    </row>
    <row r="40" spans="1:18">
      <c r="A40" s="7"/>
      <c r="B40" s="7"/>
      <c r="C40" s="8"/>
      <c r="D40" s="8"/>
      <c r="E40" s="8"/>
      <c r="F40" s="8"/>
      <c r="G40" s="7"/>
      <c r="H40" s="7"/>
      <c r="I40" s="8">
        <v>75</v>
      </c>
      <c r="J40" s="7"/>
      <c r="K40" s="7"/>
      <c r="L40" s="8"/>
      <c r="M40" s="8"/>
      <c r="N40" s="8"/>
      <c r="O40" s="8"/>
      <c r="P40" s="9"/>
      <c r="Q40" s="9"/>
      <c r="R40" s="8">
        <v>37</v>
      </c>
    </row>
    <row r="41" spans="1:18">
      <c r="A41" s="7"/>
      <c r="B41" s="7"/>
      <c r="C41" s="8"/>
      <c r="D41" s="8"/>
      <c r="E41" s="8"/>
      <c r="F41" s="8"/>
      <c r="G41" s="7"/>
      <c r="H41" s="7"/>
      <c r="I41" s="8">
        <v>76</v>
      </c>
      <c r="J41" s="7"/>
      <c r="K41" s="7"/>
      <c r="L41" s="8"/>
      <c r="M41" s="8"/>
      <c r="N41" s="8"/>
      <c r="O41" s="8"/>
      <c r="P41" s="9"/>
      <c r="Q41" s="9"/>
      <c r="R41" s="8">
        <v>38</v>
      </c>
    </row>
    <row r="42" spans="1:18">
      <c r="A42" s="44" t="s">
        <v>74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</row>
    <row r="43" spans="1:18">
      <c r="E43" s="11" t="s">
        <v>75</v>
      </c>
      <c r="M43" s="11" t="s">
        <v>76</v>
      </c>
    </row>
  </sheetData>
  <mergeCells count="30">
    <mergeCell ref="A1:R1"/>
    <mergeCell ref="A2:R2"/>
    <mergeCell ref="A3:R3"/>
    <mergeCell ref="A4:R4"/>
    <mergeCell ref="A5:R5"/>
    <mergeCell ref="A6:R6"/>
    <mergeCell ref="B7:D7"/>
    <mergeCell ref="G7:I7"/>
    <mergeCell ref="L7:O7"/>
    <mergeCell ref="A9:D9"/>
    <mergeCell ref="E9:F9"/>
    <mergeCell ref="H9:J9"/>
    <mergeCell ref="L9:O9"/>
    <mergeCell ref="P9:Q9"/>
    <mergeCell ref="A42:R42"/>
    <mergeCell ref="A10:R10"/>
    <mergeCell ref="A11:A12"/>
    <mergeCell ref="B11:C11"/>
    <mergeCell ref="D11:D12"/>
    <mergeCell ref="E11:E12"/>
    <mergeCell ref="F11:F12"/>
    <mergeCell ref="G11:H11"/>
    <mergeCell ref="I11:I12"/>
    <mergeCell ref="J11:J12"/>
    <mergeCell ref="K11:L11"/>
    <mergeCell ref="M11:M12"/>
    <mergeCell ref="N11:N12"/>
    <mergeCell ref="O11:O12"/>
    <mergeCell ref="P11:Q11"/>
    <mergeCell ref="R11:R12"/>
  </mergeCells>
  <pageMargins left="0.3125" right="0.4375" top="0.15625" bottom="0.114583333333333" header="0.511811023622047" footer="0.511811023622047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3"/>
  <sheetViews>
    <sheetView topLeftCell="A9" zoomScaleNormal="100" workbookViewId="0">
      <selection activeCell="P26" sqref="P26"/>
    </sheetView>
  </sheetViews>
  <sheetFormatPr defaultColWidth="9.1796875" defaultRowHeight="14.5"/>
  <cols>
    <col min="1" max="1" width="3.7265625" customWidth="1"/>
    <col min="2" max="3" width="4.7265625" customWidth="1"/>
    <col min="4" max="6" width="4" customWidth="1"/>
    <col min="7" max="8" width="9.54296875" customWidth="1"/>
    <col min="9" max="9" width="3.54296875" style="1" customWidth="1"/>
    <col min="10" max="10" width="3.7265625" customWidth="1"/>
    <col min="11" max="12" width="4.7265625" customWidth="1"/>
    <col min="13" max="15" width="4.26953125" customWidth="1"/>
    <col min="16" max="17" width="10.7265625" customWidth="1"/>
    <col min="18" max="18" width="3.7265625" style="1" customWidth="1"/>
  </cols>
  <sheetData>
    <row r="1" spans="1:18" ht="13.5" customHeight="1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</row>
    <row r="2" spans="1:18" ht="13.5" customHeight="1">
      <c r="A2" s="29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</row>
    <row r="3" spans="1:18" ht="13.5" customHeight="1">
      <c r="A3" s="29" t="s">
        <v>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</row>
    <row r="4" spans="1:18" ht="13.5" customHeight="1">
      <c r="A4" s="29" t="s">
        <v>3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</row>
    <row r="5" spans="1:18" ht="13.5" customHeight="1">
      <c r="A5" s="29" t="s">
        <v>4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</row>
    <row r="6" spans="1:18" ht="13.5" customHeight="1">
      <c r="A6" s="36" t="s">
        <v>5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</row>
    <row r="7" spans="1:18" ht="15.75" customHeight="1">
      <c r="B7" s="37" t="s">
        <v>6</v>
      </c>
      <c r="C7" s="37"/>
      <c r="D7" s="37"/>
      <c r="G7" s="38" t="s">
        <v>7</v>
      </c>
      <c r="H7" s="38"/>
      <c r="I7" s="38"/>
      <c r="J7" s="2"/>
      <c r="K7" s="1"/>
      <c r="L7" s="39" t="s">
        <v>8</v>
      </c>
      <c r="M7" s="39"/>
      <c r="N7" s="39"/>
      <c r="O7" s="39"/>
      <c r="P7" s="3" t="s">
        <v>9</v>
      </c>
      <c r="Q7" s="4" t="s">
        <v>10</v>
      </c>
    </row>
    <row r="8" spans="1:18" ht="6.75" customHeight="1"/>
    <row r="9" spans="1:18">
      <c r="A9" s="40" t="s">
        <v>93</v>
      </c>
      <c r="B9" s="40"/>
      <c r="C9" s="40"/>
      <c r="D9" s="40"/>
      <c r="E9" s="41" t="s">
        <v>12</v>
      </c>
      <c r="F9" s="41"/>
      <c r="H9" s="41" t="s">
        <v>13</v>
      </c>
      <c r="I9" s="41"/>
      <c r="J9" s="41"/>
      <c r="L9" s="42" t="s">
        <v>94</v>
      </c>
      <c r="M9" s="42"/>
      <c r="N9" s="42"/>
      <c r="O9" s="42"/>
      <c r="P9" s="43" t="s">
        <v>95</v>
      </c>
      <c r="Q9" s="43"/>
    </row>
    <row r="10" spans="1:18" ht="7.5" customHeight="1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</row>
    <row r="11" spans="1:18" ht="18" customHeight="1">
      <c r="A11" s="30" t="s">
        <v>16</v>
      </c>
      <c r="B11" s="31" t="s">
        <v>17</v>
      </c>
      <c r="C11" s="31"/>
      <c r="D11" s="32" t="s">
        <v>18</v>
      </c>
      <c r="E11" s="32" t="s">
        <v>19</v>
      </c>
      <c r="F11" s="30" t="s">
        <v>20</v>
      </c>
      <c r="G11" s="33" t="s">
        <v>21</v>
      </c>
      <c r="H11" s="33"/>
      <c r="I11" s="34" t="s">
        <v>22</v>
      </c>
      <c r="J11" s="30" t="s">
        <v>16</v>
      </c>
      <c r="K11" s="35" t="s">
        <v>17</v>
      </c>
      <c r="L11" s="35"/>
      <c r="M11" s="32" t="s">
        <v>18</v>
      </c>
      <c r="N11" s="32" t="s">
        <v>19</v>
      </c>
      <c r="O11" s="30" t="s">
        <v>20</v>
      </c>
      <c r="P11" s="33" t="s">
        <v>21</v>
      </c>
      <c r="Q11" s="33"/>
      <c r="R11" s="34" t="s">
        <v>22</v>
      </c>
    </row>
    <row r="12" spans="1:18" ht="25.5" customHeight="1">
      <c r="A12" s="30"/>
      <c r="B12" s="6" t="s">
        <v>23</v>
      </c>
      <c r="C12" s="6" t="s">
        <v>24</v>
      </c>
      <c r="D12" s="32"/>
      <c r="E12" s="32"/>
      <c r="F12" s="32"/>
      <c r="G12" s="5" t="s">
        <v>25</v>
      </c>
      <c r="H12" s="5" t="s">
        <v>26</v>
      </c>
      <c r="I12" s="34"/>
      <c r="J12" s="34"/>
      <c r="K12" s="6" t="s">
        <v>23</v>
      </c>
      <c r="L12" s="6" t="s">
        <v>24</v>
      </c>
      <c r="M12" s="32"/>
      <c r="N12" s="32"/>
      <c r="O12" s="32"/>
      <c r="P12" s="5" t="s">
        <v>25</v>
      </c>
      <c r="Q12" s="5" t="s">
        <v>26</v>
      </c>
      <c r="R12" s="34"/>
    </row>
    <row r="13" spans="1:18">
      <c r="A13" s="7"/>
      <c r="B13" s="7"/>
      <c r="C13" s="8"/>
      <c r="D13" s="8"/>
      <c r="E13" s="8"/>
      <c r="F13" s="8"/>
      <c r="G13" s="7"/>
      <c r="H13" s="7"/>
      <c r="I13" s="8">
        <v>1</v>
      </c>
      <c r="J13" s="7"/>
      <c r="K13" s="26" t="s">
        <v>50</v>
      </c>
      <c r="L13" s="8">
        <f t="shared" ref="L13:L30" si="0">SUM(M13:O13)</f>
        <v>86</v>
      </c>
      <c r="M13" s="8">
        <v>49</v>
      </c>
      <c r="N13" s="8">
        <v>17</v>
      </c>
      <c r="O13" s="8">
        <v>20</v>
      </c>
      <c r="P13" s="9" t="s">
        <v>28</v>
      </c>
      <c r="Q13" s="9" t="s">
        <v>29</v>
      </c>
      <c r="R13" s="8">
        <v>1</v>
      </c>
    </row>
    <row r="14" spans="1:18">
      <c r="A14" s="7"/>
      <c r="B14" s="7"/>
      <c r="C14" s="8"/>
      <c r="D14" s="8"/>
      <c r="E14" s="8"/>
      <c r="F14" s="8"/>
      <c r="G14" s="7"/>
      <c r="H14" s="7"/>
      <c r="I14" s="8">
        <v>2</v>
      </c>
      <c r="J14" s="7"/>
      <c r="K14" s="26" t="s">
        <v>84</v>
      </c>
      <c r="L14" s="8">
        <f t="shared" si="0"/>
        <v>84</v>
      </c>
      <c r="M14" s="8">
        <v>48</v>
      </c>
      <c r="N14" s="8">
        <v>16</v>
      </c>
      <c r="O14" s="8">
        <v>20</v>
      </c>
      <c r="P14" s="9" t="s">
        <v>30</v>
      </c>
      <c r="Q14" s="9" t="s">
        <v>31</v>
      </c>
      <c r="R14" s="8">
        <v>2</v>
      </c>
    </row>
    <row r="15" spans="1:18">
      <c r="A15" s="7"/>
      <c r="B15" s="7"/>
      <c r="C15" s="8"/>
      <c r="D15" s="8"/>
      <c r="E15" s="8"/>
      <c r="F15" s="8"/>
      <c r="G15" s="7"/>
      <c r="H15" s="7"/>
      <c r="I15" s="8">
        <v>3</v>
      </c>
      <c r="J15" s="7"/>
      <c r="K15" s="26" t="s">
        <v>96</v>
      </c>
      <c r="L15" s="8">
        <f t="shared" si="0"/>
        <v>56</v>
      </c>
      <c r="M15" s="8">
        <v>26</v>
      </c>
      <c r="N15" s="8">
        <v>10</v>
      </c>
      <c r="O15" s="8">
        <v>20</v>
      </c>
      <c r="P15" s="9" t="s">
        <v>33</v>
      </c>
      <c r="Q15" s="9" t="s">
        <v>34</v>
      </c>
      <c r="R15" s="8">
        <v>3</v>
      </c>
    </row>
    <row r="16" spans="1:18">
      <c r="A16" s="7"/>
      <c r="B16" s="7"/>
      <c r="C16" s="8"/>
      <c r="D16" s="8"/>
      <c r="E16" s="8"/>
      <c r="F16" s="8"/>
      <c r="G16" s="7"/>
      <c r="H16" s="7"/>
      <c r="I16" s="8">
        <v>4</v>
      </c>
      <c r="J16" s="7"/>
      <c r="K16" s="26" t="s">
        <v>97</v>
      </c>
      <c r="L16" s="8">
        <f t="shared" si="0"/>
        <v>89</v>
      </c>
      <c r="M16" s="8">
        <v>50</v>
      </c>
      <c r="N16" s="8">
        <v>19</v>
      </c>
      <c r="O16" s="8">
        <v>20</v>
      </c>
      <c r="P16" s="9" t="s">
        <v>36</v>
      </c>
      <c r="Q16" s="9" t="s">
        <v>37</v>
      </c>
      <c r="R16" s="8">
        <v>4</v>
      </c>
    </row>
    <row r="17" spans="1:18">
      <c r="A17" s="7"/>
      <c r="B17" s="7"/>
      <c r="C17" s="8"/>
      <c r="D17" s="8"/>
      <c r="E17" s="8"/>
      <c r="F17" s="8"/>
      <c r="G17" s="7"/>
      <c r="H17" s="7"/>
      <c r="I17" s="8">
        <v>5</v>
      </c>
      <c r="J17" s="7"/>
      <c r="K17" s="26" t="s">
        <v>98</v>
      </c>
      <c r="L17" s="8">
        <f t="shared" si="0"/>
        <v>96</v>
      </c>
      <c r="M17" s="8">
        <v>60</v>
      </c>
      <c r="N17" s="8">
        <v>16</v>
      </c>
      <c r="O17" s="8">
        <v>20</v>
      </c>
      <c r="P17" s="9" t="s">
        <v>39</v>
      </c>
      <c r="Q17" s="9" t="s">
        <v>40</v>
      </c>
      <c r="R17" s="8">
        <v>5</v>
      </c>
    </row>
    <row r="18" spans="1:18">
      <c r="A18" s="7"/>
      <c r="B18" s="7"/>
      <c r="C18" s="8"/>
      <c r="D18" s="8"/>
      <c r="E18" s="8"/>
      <c r="F18" s="8"/>
      <c r="G18" s="7"/>
      <c r="H18" s="7"/>
      <c r="I18" s="8">
        <v>6</v>
      </c>
      <c r="J18" s="7"/>
      <c r="K18" s="26" t="s">
        <v>63</v>
      </c>
      <c r="L18" s="8">
        <f t="shared" si="0"/>
        <v>82</v>
      </c>
      <c r="M18" s="8">
        <v>51</v>
      </c>
      <c r="N18" s="8">
        <v>11</v>
      </c>
      <c r="O18" s="8">
        <v>20</v>
      </c>
      <c r="P18" s="9" t="s">
        <v>42</v>
      </c>
      <c r="Q18" s="9" t="s">
        <v>43</v>
      </c>
      <c r="R18" s="8">
        <v>6</v>
      </c>
    </row>
    <row r="19" spans="1:18">
      <c r="A19" s="7"/>
      <c r="B19" s="7"/>
      <c r="C19" s="8"/>
      <c r="D19" s="8"/>
      <c r="E19" s="8"/>
      <c r="F19" s="8"/>
      <c r="G19" s="7"/>
      <c r="H19" s="7"/>
      <c r="I19" s="8">
        <v>7</v>
      </c>
      <c r="J19" s="7"/>
      <c r="K19" s="26" t="s">
        <v>92</v>
      </c>
      <c r="L19" s="8">
        <f t="shared" si="0"/>
        <v>99</v>
      </c>
      <c r="M19" s="8">
        <v>59</v>
      </c>
      <c r="N19" s="8">
        <v>20</v>
      </c>
      <c r="O19" s="8">
        <v>20</v>
      </c>
      <c r="P19" s="9" t="s">
        <v>45</v>
      </c>
      <c r="Q19" s="9" t="s">
        <v>46</v>
      </c>
      <c r="R19" s="8">
        <v>7</v>
      </c>
    </row>
    <row r="20" spans="1:18">
      <c r="A20" s="7"/>
      <c r="B20" s="7"/>
      <c r="C20" s="8"/>
      <c r="D20" s="8"/>
      <c r="E20" s="8"/>
      <c r="F20" s="8"/>
      <c r="G20" s="7"/>
      <c r="H20" s="7"/>
      <c r="I20" s="8">
        <v>8</v>
      </c>
      <c r="J20" s="7"/>
      <c r="K20" s="26" t="s">
        <v>32</v>
      </c>
      <c r="L20" s="8">
        <f t="shared" si="0"/>
        <v>92</v>
      </c>
      <c r="M20" s="8">
        <v>57</v>
      </c>
      <c r="N20" s="8">
        <v>15</v>
      </c>
      <c r="O20" s="8">
        <v>20</v>
      </c>
      <c r="P20" s="9" t="s">
        <v>48</v>
      </c>
      <c r="Q20" s="9" t="s">
        <v>49</v>
      </c>
      <c r="R20" s="8">
        <v>8</v>
      </c>
    </row>
    <row r="21" spans="1:18">
      <c r="A21" s="7"/>
      <c r="B21" s="7"/>
      <c r="C21" s="8"/>
      <c r="D21" s="8"/>
      <c r="E21" s="8"/>
      <c r="F21" s="8"/>
      <c r="G21" s="7"/>
      <c r="H21" s="7"/>
      <c r="I21" s="8">
        <v>9</v>
      </c>
      <c r="J21" s="7"/>
      <c r="K21" s="26" t="s">
        <v>99</v>
      </c>
      <c r="L21" s="8">
        <f t="shared" si="0"/>
        <v>78</v>
      </c>
      <c r="M21" s="8">
        <v>48</v>
      </c>
      <c r="N21" s="8">
        <v>10</v>
      </c>
      <c r="O21" s="8">
        <v>20</v>
      </c>
      <c r="P21" s="9" t="s">
        <v>51</v>
      </c>
      <c r="Q21" s="9" t="s">
        <v>52</v>
      </c>
      <c r="R21" s="8">
        <v>9</v>
      </c>
    </row>
    <row r="22" spans="1:18">
      <c r="A22" s="7"/>
      <c r="B22" s="7"/>
      <c r="C22" s="8"/>
      <c r="D22" s="8"/>
      <c r="E22" s="8"/>
      <c r="F22" s="8"/>
      <c r="G22" s="7"/>
      <c r="H22" s="7"/>
      <c r="I22" s="8">
        <v>10</v>
      </c>
      <c r="J22" s="7"/>
      <c r="K22" s="26" t="s">
        <v>27</v>
      </c>
      <c r="L22" s="8">
        <f t="shared" si="0"/>
        <v>80</v>
      </c>
      <c r="M22" s="8">
        <v>51</v>
      </c>
      <c r="N22" s="8">
        <v>9</v>
      </c>
      <c r="O22" s="8">
        <v>20</v>
      </c>
      <c r="P22" s="9" t="s">
        <v>54</v>
      </c>
      <c r="Q22" s="9" t="s">
        <v>55</v>
      </c>
      <c r="R22" s="8">
        <v>10</v>
      </c>
    </row>
    <row r="23" spans="1:18">
      <c r="A23" s="7"/>
      <c r="B23" s="7"/>
      <c r="C23" s="8"/>
      <c r="D23" s="8"/>
      <c r="E23" s="8"/>
      <c r="F23" s="8"/>
      <c r="G23" s="7"/>
      <c r="H23" s="7"/>
      <c r="I23" s="8">
        <v>11</v>
      </c>
      <c r="J23" s="7"/>
      <c r="K23" s="26" t="s">
        <v>100</v>
      </c>
      <c r="L23" s="8">
        <f t="shared" si="0"/>
        <v>93</v>
      </c>
      <c r="M23" s="8">
        <v>54</v>
      </c>
      <c r="N23" s="8">
        <v>19</v>
      </c>
      <c r="O23" s="8">
        <v>20</v>
      </c>
      <c r="P23" s="9" t="s">
        <v>56</v>
      </c>
      <c r="Q23" s="9" t="s">
        <v>57</v>
      </c>
      <c r="R23" s="8">
        <v>11</v>
      </c>
    </row>
    <row r="24" spans="1:18">
      <c r="A24" s="7"/>
      <c r="B24" s="7"/>
      <c r="C24" s="8"/>
      <c r="D24" s="8"/>
      <c r="E24" s="8"/>
      <c r="F24" s="8"/>
      <c r="G24" s="7"/>
      <c r="H24" s="7"/>
      <c r="I24" s="8">
        <v>12</v>
      </c>
      <c r="J24" s="7"/>
      <c r="K24" s="26" t="s">
        <v>63</v>
      </c>
      <c r="L24" s="8">
        <f t="shared" si="0"/>
        <v>82</v>
      </c>
      <c r="M24" s="8">
        <v>56</v>
      </c>
      <c r="N24" s="8">
        <v>6</v>
      </c>
      <c r="O24" s="8">
        <v>20</v>
      </c>
      <c r="P24" s="9" t="s">
        <v>58</v>
      </c>
      <c r="Q24" s="9" t="s">
        <v>59</v>
      </c>
      <c r="R24" s="8">
        <v>12</v>
      </c>
    </row>
    <row r="25" spans="1:18">
      <c r="A25" s="7"/>
      <c r="B25" s="7"/>
      <c r="C25" s="8"/>
      <c r="D25" s="8"/>
      <c r="E25" s="8"/>
      <c r="F25" s="8"/>
      <c r="G25" s="7"/>
      <c r="H25" s="7"/>
      <c r="I25" s="8">
        <v>13</v>
      </c>
      <c r="J25" s="7"/>
      <c r="K25" s="26" t="s">
        <v>35</v>
      </c>
      <c r="L25" s="8">
        <f t="shared" si="0"/>
        <v>95</v>
      </c>
      <c r="M25" s="8">
        <v>60</v>
      </c>
      <c r="N25" s="8">
        <v>15</v>
      </c>
      <c r="O25" s="8">
        <v>20</v>
      </c>
      <c r="P25" s="9" t="s">
        <v>61</v>
      </c>
      <c r="Q25" s="9" t="s">
        <v>62</v>
      </c>
      <c r="R25" s="8">
        <v>13</v>
      </c>
    </row>
    <row r="26" spans="1:18">
      <c r="A26" s="7"/>
      <c r="B26" s="7"/>
      <c r="C26" s="8"/>
      <c r="D26" s="8"/>
      <c r="E26" s="8"/>
      <c r="F26" s="8"/>
      <c r="G26" s="7"/>
      <c r="H26" s="7"/>
      <c r="I26" s="8">
        <v>14</v>
      </c>
      <c r="J26" s="7"/>
      <c r="K26" s="26" t="s">
        <v>35</v>
      </c>
      <c r="L26" s="8">
        <f t="shared" si="0"/>
        <v>95</v>
      </c>
      <c r="M26" s="8">
        <v>57</v>
      </c>
      <c r="N26" s="8">
        <v>18</v>
      </c>
      <c r="O26" s="8">
        <v>20</v>
      </c>
      <c r="P26" s="9" t="s">
        <v>64</v>
      </c>
      <c r="Q26" s="9" t="s">
        <v>65</v>
      </c>
      <c r="R26" s="8">
        <v>14</v>
      </c>
    </row>
    <row r="27" spans="1:18">
      <c r="A27" s="7"/>
      <c r="B27" s="7"/>
      <c r="C27" s="8"/>
      <c r="D27" s="8"/>
      <c r="E27" s="8"/>
      <c r="F27" s="8"/>
      <c r="G27" s="7"/>
      <c r="H27" s="7"/>
      <c r="I27" s="8">
        <v>15</v>
      </c>
      <c r="J27" s="7"/>
      <c r="K27" s="26" t="s">
        <v>47</v>
      </c>
      <c r="L27" s="8">
        <f t="shared" si="0"/>
        <v>94</v>
      </c>
      <c r="M27" s="8">
        <v>60</v>
      </c>
      <c r="N27" s="8">
        <v>14</v>
      </c>
      <c r="O27" s="8">
        <v>20</v>
      </c>
      <c r="P27" s="9" t="s">
        <v>54</v>
      </c>
      <c r="Q27" s="9" t="s">
        <v>67</v>
      </c>
      <c r="R27" s="8">
        <v>15</v>
      </c>
    </row>
    <row r="28" spans="1:18">
      <c r="A28" s="7"/>
      <c r="B28" s="7"/>
      <c r="C28" s="8"/>
      <c r="D28" s="8"/>
      <c r="E28" s="8"/>
      <c r="F28" s="8"/>
      <c r="G28" s="7"/>
      <c r="H28" s="7"/>
      <c r="I28" s="8">
        <v>16</v>
      </c>
      <c r="J28" s="7"/>
      <c r="K28" s="26" t="s">
        <v>101</v>
      </c>
      <c r="L28" s="8">
        <f t="shared" si="0"/>
        <v>68</v>
      </c>
      <c r="M28" s="8">
        <v>28</v>
      </c>
      <c r="N28" s="8">
        <v>20</v>
      </c>
      <c r="O28" s="8">
        <v>20</v>
      </c>
      <c r="P28" s="9" t="s">
        <v>68</v>
      </c>
      <c r="Q28" s="9" t="s">
        <v>69</v>
      </c>
      <c r="R28" s="8">
        <v>16</v>
      </c>
    </row>
    <row r="29" spans="1:18">
      <c r="A29" s="7"/>
      <c r="B29" s="7"/>
      <c r="C29" s="8"/>
      <c r="D29" s="8"/>
      <c r="E29" s="8"/>
      <c r="F29" s="8"/>
      <c r="G29" s="7"/>
      <c r="H29" s="7"/>
      <c r="I29" s="8">
        <v>17</v>
      </c>
      <c r="J29" s="7"/>
      <c r="K29" s="26" t="s">
        <v>102</v>
      </c>
      <c r="L29" s="8">
        <f t="shared" si="0"/>
        <v>79</v>
      </c>
      <c r="M29" s="8">
        <v>42</v>
      </c>
      <c r="N29" s="8">
        <v>17</v>
      </c>
      <c r="O29" s="8">
        <v>20</v>
      </c>
      <c r="P29" s="9" t="s">
        <v>70</v>
      </c>
      <c r="Q29" s="9" t="s">
        <v>71</v>
      </c>
      <c r="R29" s="8">
        <v>17</v>
      </c>
    </row>
    <row r="30" spans="1:18">
      <c r="A30" s="7"/>
      <c r="B30" s="7"/>
      <c r="C30" s="8"/>
      <c r="D30" s="8"/>
      <c r="E30" s="8"/>
      <c r="F30" s="8"/>
      <c r="G30" s="7"/>
      <c r="H30" s="7"/>
      <c r="I30" s="8">
        <v>18</v>
      </c>
      <c r="J30" s="7"/>
      <c r="K30" s="26" t="s">
        <v>50</v>
      </c>
      <c r="L30" s="8">
        <f t="shared" si="0"/>
        <v>86</v>
      </c>
      <c r="M30" s="8">
        <v>48</v>
      </c>
      <c r="N30" s="8">
        <v>18</v>
      </c>
      <c r="O30" s="8">
        <v>20</v>
      </c>
      <c r="P30" s="9" t="s">
        <v>72</v>
      </c>
      <c r="Q30" s="9" t="s">
        <v>73</v>
      </c>
      <c r="R30" s="8">
        <v>18</v>
      </c>
    </row>
    <row r="31" spans="1:18">
      <c r="A31" s="7"/>
      <c r="B31" s="7"/>
      <c r="C31" s="8"/>
      <c r="D31" s="8"/>
      <c r="E31" s="8"/>
      <c r="F31" s="8"/>
      <c r="G31" s="7"/>
      <c r="H31" s="7"/>
      <c r="I31" s="8">
        <v>66</v>
      </c>
      <c r="J31" s="7"/>
      <c r="K31" s="7"/>
      <c r="L31" s="8"/>
      <c r="M31" s="8"/>
      <c r="N31" s="8"/>
      <c r="O31" s="8"/>
      <c r="P31" s="9"/>
      <c r="Q31" s="9"/>
      <c r="R31" s="8">
        <v>19</v>
      </c>
    </row>
    <row r="32" spans="1:18">
      <c r="A32" s="7"/>
      <c r="B32" s="7"/>
      <c r="C32" s="8"/>
      <c r="D32" s="8"/>
      <c r="E32" s="8"/>
      <c r="F32" s="8"/>
      <c r="G32" s="7"/>
      <c r="H32" s="7"/>
      <c r="I32" s="8">
        <v>67</v>
      </c>
      <c r="J32" s="7"/>
      <c r="K32" s="7"/>
      <c r="L32" s="8"/>
      <c r="M32" s="8"/>
      <c r="N32" s="8"/>
      <c r="O32" s="8"/>
      <c r="P32" s="9"/>
      <c r="Q32" s="9"/>
      <c r="R32" s="8">
        <v>20</v>
      </c>
    </row>
    <row r="33" spans="1:18" ht="18.5">
      <c r="A33" s="7"/>
      <c r="B33" s="7"/>
      <c r="C33" s="8"/>
      <c r="D33" s="8"/>
      <c r="E33" s="8"/>
      <c r="F33" s="8"/>
      <c r="G33" s="7"/>
      <c r="H33" s="7"/>
      <c r="I33" s="8">
        <v>68</v>
      </c>
      <c r="J33" s="7"/>
      <c r="K33" s="7"/>
      <c r="L33" s="8"/>
      <c r="M33" s="8"/>
      <c r="N33" s="8"/>
      <c r="O33" s="8"/>
      <c r="P33" s="10"/>
      <c r="Q33" s="10"/>
      <c r="R33" s="8">
        <v>21</v>
      </c>
    </row>
    <row r="34" spans="1:18" ht="18.5">
      <c r="A34" s="7"/>
      <c r="B34" s="7"/>
      <c r="C34" s="8"/>
      <c r="D34" s="8"/>
      <c r="E34" s="8"/>
      <c r="F34" s="8"/>
      <c r="G34" s="7"/>
      <c r="H34" s="7"/>
      <c r="I34" s="8">
        <v>69</v>
      </c>
      <c r="J34" s="7"/>
      <c r="K34" s="7"/>
      <c r="L34" s="8"/>
      <c r="M34" s="8"/>
      <c r="N34" s="8"/>
      <c r="O34" s="8"/>
      <c r="P34" s="10"/>
      <c r="Q34" s="10"/>
      <c r="R34" s="8">
        <v>22</v>
      </c>
    </row>
    <row r="35" spans="1:18" ht="18.5">
      <c r="A35" s="7"/>
      <c r="B35" s="7"/>
      <c r="C35" s="8"/>
      <c r="D35" s="8"/>
      <c r="E35" s="8"/>
      <c r="F35" s="8"/>
      <c r="G35" s="7"/>
      <c r="H35" s="7"/>
      <c r="I35" s="8">
        <v>70</v>
      </c>
      <c r="J35" s="7"/>
      <c r="K35" s="7"/>
      <c r="L35" s="8"/>
      <c r="M35" s="8"/>
      <c r="N35" s="8"/>
      <c r="O35" s="8"/>
      <c r="P35" s="10"/>
      <c r="Q35" s="10"/>
      <c r="R35" s="8">
        <v>23</v>
      </c>
    </row>
    <row r="36" spans="1:18" ht="18.5">
      <c r="A36" s="7"/>
      <c r="B36" s="7"/>
      <c r="C36" s="8"/>
      <c r="D36" s="8"/>
      <c r="E36" s="8"/>
      <c r="F36" s="8"/>
      <c r="G36" s="7"/>
      <c r="H36" s="7"/>
      <c r="I36" s="8">
        <v>71</v>
      </c>
      <c r="J36" s="7"/>
      <c r="K36" s="7"/>
      <c r="L36" s="8"/>
      <c r="M36" s="8"/>
      <c r="N36" s="8"/>
      <c r="O36" s="8"/>
      <c r="P36" s="10"/>
      <c r="Q36" s="10"/>
      <c r="R36" s="8">
        <v>24</v>
      </c>
    </row>
    <row r="37" spans="1:18">
      <c r="A37" s="7"/>
      <c r="B37" s="7"/>
      <c r="C37" s="8"/>
      <c r="D37" s="8"/>
      <c r="E37" s="8"/>
      <c r="F37" s="8"/>
      <c r="G37" s="7"/>
      <c r="H37" s="7"/>
      <c r="I37" s="8">
        <v>72</v>
      </c>
      <c r="J37" s="7"/>
      <c r="K37" s="7"/>
      <c r="L37" s="8"/>
      <c r="M37" s="8"/>
      <c r="N37" s="8"/>
      <c r="O37" s="8"/>
      <c r="P37" s="9"/>
      <c r="Q37" s="9"/>
      <c r="R37" s="8">
        <v>25</v>
      </c>
    </row>
    <row r="38" spans="1:18">
      <c r="A38" s="7"/>
      <c r="B38" s="7"/>
      <c r="C38" s="8"/>
      <c r="D38" s="8"/>
      <c r="E38" s="8"/>
      <c r="F38" s="8"/>
      <c r="G38" s="7"/>
      <c r="H38" s="7"/>
      <c r="I38" s="8">
        <v>73</v>
      </c>
      <c r="J38" s="7"/>
      <c r="K38" s="7"/>
      <c r="L38" s="8"/>
      <c r="M38" s="8"/>
      <c r="N38" s="8"/>
      <c r="O38" s="8"/>
      <c r="P38" s="9"/>
      <c r="Q38" s="9"/>
      <c r="R38" s="8">
        <v>35</v>
      </c>
    </row>
    <row r="39" spans="1:18">
      <c r="A39" s="7"/>
      <c r="B39" s="7"/>
      <c r="C39" s="8"/>
      <c r="D39" s="8"/>
      <c r="E39" s="8"/>
      <c r="F39" s="8"/>
      <c r="G39" s="7"/>
      <c r="H39" s="7"/>
      <c r="I39" s="8">
        <v>74</v>
      </c>
      <c r="J39" s="7"/>
      <c r="K39" s="7"/>
      <c r="L39" s="8"/>
      <c r="M39" s="8"/>
      <c r="N39" s="8"/>
      <c r="O39" s="8"/>
      <c r="P39" s="9"/>
      <c r="Q39" s="9"/>
      <c r="R39" s="8">
        <v>36</v>
      </c>
    </row>
    <row r="40" spans="1:18">
      <c r="A40" s="7"/>
      <c r="B40" s="7"/>
      <c r="C40" s="8"/>
      <c r="D40" s="8"/>
      <c r="E40" s="8"/>
      <c r="F40" s="8"/>
      <c r="G40" s="7"/>
      <c r="H40" s="7"/>
      <c r="I40" s="8">
        <v>75</v>
      </c>
      <c r="J40" s="7"/>
      <c r="K40" s="7"/>
      <c r="L40" s="8"/>
      <c r="M40" s="8"/>
      <c r="N40" s="8"/>
      <c r="O40" s="8"/>
      <c r="P40" s="9"/>
      <c r="Q40" s="9"/>
      <c r="R40" s="8">
        <v>37</v>
      </c>
    </row>
    <row r="41" spans="1:18">
      <c r="A41" s="7"/>
      <c r="B41" s="7"/>
      <c r="C41" s="8"/>
      <c r="D41" s="8"/>
      <c r="E41" s="8"/>
      <c r="F41" s="8"/>
      <c r="G41" s="7"/>
      <c r="H41" s="7"/>
      <c r="I41" s="8">
        <v>76</v>
      </c>
      <c r="J41" s="7"/>
      <c r="K41" s="7"/>
      <c r="L41" s="8"/>
      <c r="M41" s="8"/>
      <c r="N41" s="8"/>
      <c r="O41" s="8"/>
      <c r="P41" s="9"/>
      <c r="Q41" s="9"/>
      <c r="R41" s="8">
        <v>38</v>
      </c>
    </row>
    <row r="42" spans="1:18">
      <c r="A42" s="44" t="s">
        <v>74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</row>
    <row r="43" spans="1:18">
      <c r="E43" s="11" t="s">
        <v>75</v>
      </c>
      <c r="M43" s="11" t="s">
        <v>76</v>
      </c>
    </row>
  </sheetData>
  <mergeCells count="30">
    <mergeCell ref="A1:R1"/>
    <mergeCell ref="A2:R2"/>
    <mergeCell ref="A3:R3"/>
    <mergeCell ref="A4:R4"/>
    <mergeCell ref="A5:R5"/>
    <mergeCell ref="A6:R6"/>
    <mergeCell ref="B7:D7"/>
    <mergeCell ref="G7:I7"/>
    <mergeCell ref="L7:O7"/>
    <mergeCell ref="A9:D9"/>
    <mergeCell ref="E9:F9"/>
    <mergeCell ref="H9:J9"/>
    <mergeCell ref="L9:O9"/>
    <mergeCell ref="P9:Q9"/>
    <mergeCell ref="A42:R42"/>
    <mergeCell ref="A10:R10"/>
    <mergeCell ref="A11:A12"/>
    <mergeCell ref="B11:C11"/>
    <mergeCell ref="D11:D12"/>
    <mergeCell ref="E11:E12"/>
    <mergeCell ref="F11:F12"/>
    <mergeCell ref="G11:H11"/>
    <mergeCell ref="I11:I12"/>
    <mergeCell ref="J11:J12"/>
    <mergeCell ref="K11:L11"/>
    <mergeCell ref="M11:M12"/>
    <mergeCell ref="N11:N12"/>
    <mergeCell ref="O11:O12"/>
    <mergeCell ref="P11:Q11"/>
    <mergeCell ref="R11:R12"/>
  </mergeCells>
  <pageMargins left="0.25" right="0.375" top="0.15625" bottom="0.114583333333333" header="0.511811023622047" footer="0.511811023622047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3"/>
  <sheetViews>
    <sheetView topLeftCell="A9" zoomScaleNormal="100" workbookViewId="0">
      <selection activeCell="P27" sqref="P27"/>
    </sheetView>
  </sheetViews>
  <sheetFormatPr defaultColWidth="9.1796875" defaultRowHeight="14.5"/>
  <cols>
    <col min="1" max="1" width="3.7265625" customWidth="1"/>
    <col min="2" max="3" width="4.7265625" customWidth="1"/>
    <col min="4" max="6" width="4" customWidth="1"/>
    <col min="7" max="8" width="9.81640625" customWidth="1"/>
    <col min="9" max="9" width="3.54296875" style="1" customWidth="1"/>
    <col min="10" max="10" width="3.7265625" customWidth="1"/>
    <col min="11" max="12" width="4.7265625" customWidth="1"/>
    <col min="13" max="15" width="4" customWidth="1"/>
    <col min="16" max="17" width="10.7265625" customWidth="1"/>
    <col min="18" max="18" width="3.7265625" style="1" customWidth="1"/>
  </cols>
  <sheetData>
    <row r="1" spans="1:18" ht="14.25" customHeight="1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</row>
    <row r="2" spans="1:18" ht="14.25" customHeight="1">
      <c r="A2" s="29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</row>
    <row r="3" spans="1:18" ht="14.25" customHeight="1">
      <c r="A3" s="29" t="s">
        <v>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</row>
    <row r="4" spans="1:18" ht="14.25" customHeight="1">
      <c r="A4" s="29" t="s">
        <v>3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</row>
    <row r="5" spans="1:18" ht="14.25" customHeight="1">
      <c r="A5" s="29" t="s">
        <v>4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</row>
    <row r="6" spans="1:18" ht="14.25" customHeight="1">
      <c r="A6" s="36" t="s">
        <v>5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</row>
    <row r="7" spans="1:18" ht="15.75" customHeight="1">
      <c r="B7" s="37" t="s">
        <v>6</v>
      </c>
      <c r="C7" s="37"/>
      <c r="D7" s="37"/>
      <c r="G7" s="38" t="s">
        <v>7</v>
      </c>
      <c r="H7" s="38"/>
      <c r="I7" s="38"/>
      <c r="J7" s="2"/>
      <c r="K7" s="1"/>
      <c r="L7" s="39" t="s">
        <v>8</v>
      </c>
      <c r="M7" s="39"/>
      <c r="N7" s="39"/>
      <c r="O7" s="39"/>
      <c r="P7" s="3" t="s">
        <v>9</v>
      </c>
      <c r="Q7" s="4" t="s">
        <v>10</v>
      </c>
    </row>
    <row r="8" spans="1:18" ht="6.75" customHeight="1"/>
    <row r="9" spans="1:18">
      <c r="A9" s="40" t="s">
        <v>103</v>
      </c>
      <c r="B9" s="40"/>
      <c r="C9" s="40"/>
      <c r="D9" s="40"/>
      <c r="E9" s="41" t="s">
        <v>12</v>
      </c>
      <c r="F9" s="41"/>
      <c r="H9" s="41" t="s">
        <v>13</v>
      </c>
      <c r="I9" s="41"/>
      <c r="J9" s="41"/>
      <c r="L9" s="42" t="s">
        <v>104</v>
      </c>
      <c r="M9" s="42"/>
      <c r="N9" s="42"/>
      <c r="O9" s="42"/>
      <c r="P9" s="43" t="s">
        <v>105</v>
      </c>
      <c r="Q9" s="43"/>
    </row>
    <row r="10" spans="1:18" ht="7.5" customHeight="1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</row>
    <row r="11" spans="1:18" ht="19.5" customHeight="1">
      <c r="A11" s="30" t="s">
        <v>16</v>
      </c>
      <c r="B11" s="31" t="s">
        <v>17</v>
      </c>
      <c r="C11" s="31"/>
      <c r="D11" s="32" t="s">
        <v>18</v>
      </c>
      <c r="E11" s="32" t="s">
        <v>19</v>
      </c>
      <c r="F11" s="30" t="s">
        <v>20</v>
      </c>
      <c r="G11" s="33" t="s">
        <v>21</v>
      </c>
      <c r="H11" s="33"/>
      <c r="I11" s="34" t="s">
        <v>22</v>
      </c>
      <c r="J11" s="30" t="s">
        <v>16</v>
      </c>
      <c r="K11" s="35" t="s">
        <v>17</v>
      </c>
      <c r="L11" s="35"/>
      <c r="M11" s="32" t="s">
        <v>18</v>
      </c>
      <c r="N11" s="32" t="s">
        <v>19</v>
      </c>
      <c r="O11" s="30" t="s">
        <v>20</v>
      </c>
      <c r="P11" s="33" t="s">
        <v>21</v>
      </c>
      <c r="Q11" s="33"/>
      <c r="R11" s="34" t="s">
        <v>22</v>
      </c>
    </row>
    <row r="12" spans="1:18" ht="25.5" customHeight="1">
      <c r="A12" s="30"/>
      <c r="B12" s="6" t="s">
        <v>23</v>
      </c>
      <c r="C12" s="6" t="s">
        <v>24</v>
      </c>
      <c r="D12" s="32"/>
      <c r="E12" s="32"/>
      <c r="F12" s="32"/>
      <c r="G12" s="5" t="s">
        <v>25</v>
      </c>
      <c r="H12" s="5" t="s">
        <v>26</v>
      </c>
      <c r="I12" s="34"/>
      <c r="J12" s="34"/>
      <c r="K12" s="6" t="s">
        <v>23</v>
      </c>
      <c r="L12" s="6" t="s">
        <v>24</v>
      </c>
      <c r="M12" s="32"/>
      <c r="N12" s="32"/>
      <c r="O12" s="32"/>
      <c r="P12" s="5" t="s">
        <v>25</v>
      </c>
      <c r="Q12" s="5" t="s">
        <v>26</v>
      </c>
      <c r="R12" s="34"/>
    </row>
    <row r="13" spans="1:18">
      <c r="A13" s="7"/>
      <c r="B13" s="7"/>
      <c r="C13" s="8"/>
      <c r="D13" s="8"/>
      <c r="E13" s="8"/>
      <c r="F13" s="8"/>
      <c r="G13" s="7"/>
      <c r="H13" s="7"/>
      <c r="I13" s="8">
        <v>1</v>
      </c>
      <c r="J13" s="7"/>
      <c r="K13" s="26" t="s">
        <v>63</v>
      </c>
      <c r="L13" s="8">
        <f t="shared" ref="L13:L30" si="0">SUM(M13:O13)</f>
        <v>82</v>
      </c>
      <c r="M13" s="8">
        <v>49</v>
      </c>
      <c r="N13" s="8">
        <v>13</v>
      </c>
      <c r="O13" s="8">
        <v>20</v>
      </c>
      <c r="P13" s="9" t="s">
        <v>28</v>
      </c>
      <c r="Q13" s="9" t="s">
        <v>29</v>
      </c>
      <c r="R13" s="8">
        <v>1</v>
      </c>
    </row>
    <row r="14" spans="1:18">
      <c r="A14" s="7"/>
      <c r="B14" s="7"/>
      <c r="C14" s="8"/>
      <c r="D14" s="8"/>
      <c r="E14" s="8"/>
      <c r="F14" s="8"/>
      <c r="G14" s="7"/>
      <c r="H14" s="7"/>
      <c r="I14" s="8">
        <v>2</v>
      </c>
      <c r="J14" s="7"/>
      <c r="K14" s="26" t="s">
        <v>32</v>
      </c>
      <c r="L14" s="8">
        <f t="shared" si="0"/>
        <v>92</v>
      </c>
      <c r="M14" s="8">
        <v>56</v>
      </c>
      <c r="N14" s="8">
        <v>16</v>
      </c>
      <c r="O14" s="8">
        <v>20</v>
      </c>
      <c r="P14" s="9" t="s">
        <v>30</v>
      </c>
      <c r="Q14" s="9" t="s">
        <v>31</v>
      </c>
      <c r="R14" s="8">
        <v>2</v>
      </c>
    </row>
    <row r="15" spans="1:18">
      <c r="A15" s="7"/>
      <c r="B15" s="7"/>
      <c r="C15" s="8"/>
      <c r="D15" s="8"/>
      <c r="E15" s="8"/>
      <c r="F15" s="8"/>
      <c r="G15" s="7"/>
      <c r="H15" s="7"/>
      <c r="I15" s="8">
        <v>3</v>
      </c>
      <c r="J15" s="7"/>
      <c r="K15" s="26" t="s">
        <v>92</v>
      </c>
      <c r="L15" s="8">
        <f t="shared" si="0"/>
        <v>99</v>
      </c>
      <c r="M15" s="8">
        <v>59</v>
      </c>
      <c r="N15" s="8">
        <v>20</v>
      </c>
      <c r="O15" s="8">
        <v>20</v>
      </c>
      <c r="P15" s="9" t="s">
        <v>33</v>
      </c>
      <c r="Q15" s="9" t="s">
        <v>34</v>
      </c>
      <c r="R15" s="8">
        <v>3</v>
      </c>
    </row>
    <row r="16" spans="1:18">
      <c r="A16" s="7"/>
      <c r="B16" s="7"/>
      <c r="C16" s="8"/>
      <c r="D16" s="8"/>
      <c r="E16" s="8"/>
      <c r="F16" s="8"/>
      <c r="G16" s="7"/>
      <c r="H16" s="7"/>
      <c r="I16" s="8">
        <v>4</v>
      </c>
      <c r="J16" s="7"/>
      <c r="K16" s="26" t="s">
        <v>98</v>
      </c>
      <c r="L16" s="8">
        <f t="shared" si="0"/>
        <v>96</v>
      </c>
      <c r="M16" s="8">
        <v>56</v>
      </c>
      <c r="N16" s="8">
        <v>20</v>
      </c>
      <c r="O16" s="8">
        <v>20</v>
      </c>
      <c r="P16" s="9" t="s">
        <v>36</v>
      </c>
      <c r="Q16" s="9" t="s">
        <v>37</v>
      </c>
      <c r="R16" s="8">
        <v>4</v>
      </c>
    </row>
    <row r="17" spans="1:18">
      <c r="A17" s="7"/>
      <c r="B17" s="7"/>
      <c r="C17" s="8"/>
      <c r="D17" s="8"/>
      <c r="E17" s="8"/>
      <c r="F17" s="8"/>
      <c r="G17" s="7"/>
      <c r="H17" s="7"/>
      <c r="I17" s="8">
        <v>5</v>
      </c>
      <c r="J17" s="7"/>
      <c r="K17" s="26" t="s">
        <v>100</v>
      </c>
      <c r="L17" s="8">
        <f t="shared" si="0"/>
        <v>93</v>
      </c>
      <c r="M17" s="8">
        <v>55</v>
      </c>
      <c r="N17" s="8">
        <v>18</v>
      </c>
      <c r="O17" s="8">
        <v>20</v>
      </c>
      <c r="P17" s="9" t="s">
        <v>39</v>
      </c>
      <c r="Q17" s="9" t="s">
        <v>40</v>
      </c>
      <c r="R17" s="8">
        <v>5</v>
      </c>
    </row>
    <row r="18" spans="1:18">
      <c r="A18" s="7"/>
      <c r="B18" s="7"/>
      <c r="C18" s="8"/>
      <c r="D18" s="8"/>
      <c r="E18" s="8"/>
      <c r="F18" s="8"/>
      <c r="G18" s="7"/>
      <c r="H18" s="7"/>
      <c r="I18" s="8">
        <v>6</v>
      </c>
      <c r="J18" s="7"/>
      <c r="K18" s="26" t="s">
        <v>97</v>
      </c>
      <c r="L18" s="8">
        <f t="shared" si="0"/>
        <v>89</v>
      </c>
      <c r="M18" s="8">
        <v>58</v>
      </c>
      <c r="N18" s="8">
        <v>11</v>
      </c>
      <c r="O18" s="8">
        <v>20</v>
      </c>
      <c r="P18" s="9" t="s">
        <v>42</v>
      </c>
      <c r="Q18" s="9" t="s">
        <v>43</v>
      </c>
      <c r="R18" s="8">
        <v>6</v>
      </c>
    </row>
    <row r="19" spans="1:18">
      <c r="A19" s="7"/>
      <c r="B19" s="7"/>
      <c r="C19" s="8"/>
      <c r="D19" s="8"/>
      <c r="E19" s="8"/>
      <c r="F19" s="8"/>
      <c r="G19" s="7"/>
      <c r="H19" s="7"/>
      <c r="I19" s="8">
        <v>7</v>
      </c>
      <c r="J19" s="7"/>
      <c r="K19" s="26" t="s">
        <v>79</v>
      </c>
      <c r="L19" s="8">
        <f t="shared" si="0"/>
        <v>76</v>
      </c>
      <c r="M19" s="8">
        <v>37</v>
      </c>
      <c r="N19" s="8">
        <v>19</v>
      </c>
      <c r="O19" s="8">
        <v>20</v>
      </c>
      <c r="P19" s="9" t="s">
        <v>45</v>
      </c>
      <c r="Q19" s="9" t="s">
        <v>46</v>
      </c>
      <c r="R19" s="8">
        <v>7</v>
      </c>
    </row>
    <row r="20" spans="1:18">
      <c r="A20" s="7"/>
      <c r="B20" s="7"/>
      <c r="C20" s="8"/>
      <c r="D20" s="8"/>
      <c r="E20" s="8"/>
      <c r="F20" s="8"/>
      <c r="G20" s="7"/>
      <c r="H20" s="7"/>
      <c r="I20" s="8">
        <v>8</v>
      </c>
      <c r="J20" s="7"/>
      <c r="K20" s="26" t="s">
        <v>98</v>
      </c>
      <c r="L20" s="8">
        <f t="shared" si="0"/>
        <v>96</v>
      </c>
      <c r="M20" s="8">
        <v>60</v>
      </c>
      <c r="N20" s="8">
        <v>16</v>
      </c>
      <c r="O20" s="8">
        <v>20</v>
      </c>
      <c r="P20" s="9" t="s">
        <v>48</v>
      </c>
      <c r="Q20" s="9" t="s">
        <v>49</v>
      </c>
      <c r="R20" s="8">
        <v>8</v>
      </c>
    </row>
    <row r="21" spans="1:18">
      <c r="A21" s="7"/>
      <c r="B21" s="7"/>
      <c r="C21" s="8"/>
      <c r="D21" s="8"/>
      <c r="E21" s="8"/>
      <c r="F21" s="8"/>
      <c r="G21" s="7"/>
      <c r="H21" s="7"/>
      <c r="I21" s="8">
        <v>9</v>
      </c>
      <c r="J21" s="7"/>
      <c r="K21" s="26" t="s">
        <v>27</v>
      </c>
      <c r="L21" s="8">
        <f t="shared" si="0"/>
        <v>80</v>
      </c>
      <c r="M21" s="8">
        <v>55</v>
      </c>
      <c r="N21" s="8">
        <v>5</v>
      </c>
      <c r="O21" s="8">
        <v>20</v>
      </c>
      <c r="P21" s="9" t="s">
        <v>51</v>
      </c>
      <c r="Q21" s="9" t="s">
        <v>52</v>
      </c>
      <c r="R21" s="8">
        <v>9</v>
      </c>
    </row>
    <row r="22" spans="1:18">
      <c r="A22" s="7"/>
      <c r="B22" s="7"/>
      <c r="C22" s="8"/>
      <c r="D22" s="8"/>
      <c r="E22" s="8"/>
      <c r="F22" s="8"/>
      <c r="G22" s="7"/>
      <c r="H22" s="7"/>
      <c r="I22" s="8">
        <v>10</v>
      </c>
      <c r="J22" s="7"/>
      <c r="K22" s="26" t="s">
        <v>27</v>
      </c>
      <c r="L22" s="8">
        <f t="shared" si="0"/>
        <v>80</v>
      </c>
      <c r="M22" s="8">
        <v>54</v>
      </c>
      <c r="N22" s="8">
        <v>6</v>
      </c>
      <c r="O22" s="8">
        <v>20</v>
      </c>
      <c r="P22" s="9" t="s">
        <v>54</v>
      </c>
      <c r="Q22" s="9" t="s">
        <v>55</v>
      </c>
      <c r="R22" s="8">
        <v>10</v>
      </c>
    </row>
    <row r="23" spans="1:18">
      <c r="A23" s="7"/>
      <c r="B23" s="7"/>
      <c r="C23" s="8"/>
      <c r="D23" s="8"/>
      <c r="E23" s="8"/>
      <c r="F23" s="8"/>
      <c r="G23" s="7"/>
      <c r="H23" s="7"/>
      <c r="I23" s="8">
        <v>11</v>
      </c>
      <c r="J23" s="7"/>
      <c r="K23" s="26" t="s">
        <v>35</v>
      </c>
      <c r="L23" s="8">
        <f t="shared" si="0"/>
        <v>95</v>
      </c>
      <c r="M23" s="8">
        <v>57</v>
      </c>
      <c r="N23" s="8">
        <v>18</v>
      </c>
      <c r="O23" s="8">
        <v>20</v>
      </c>
      <c r="P23" s="9" t="s">
        <v>56</v>
      </c>
      <c r="Q23" s="9" t="s">
        <v>57</v>
      </c>
      <c r="R23" s="8">
        <v>11</v>
      </c>
    </row>
    <row r="24" spans="1:18">
      <c r="A24" s="7"/>
      <c r="B24" s="7"/>
      <c r="C24" s="8"/>
      <c r="D24" s="8"/>
      <c r="E24" s="8"/>
      <c r="F24" s="8"/>
      <c r="G24" s="7"/>
      <c r="H24" s="7"/>
      <c r="I24" s="8">
        <v>12</v>
      </c>
      <c r="J24" s="7"/>
      <c r="K24" s="26" t="s">
        <v>98</v>
      </c>
      <c r="L24" s="8">
        <f t="shared" si="0"/>
        <v>96</v>
      </c>
      <c r="M24" s="8">
        <v>57</v>
      </c>
      <c r="N24" s="8">
        <v>19</v>
      </c>
      <c r="O24" s="8">
        <v>20</v>
      </c>
      <c r="P24" s="9" t="s">
        <v>58</v>
      </c>
      <c r="Q24" s="9" t="s">
        <v>59</v>
      </c>
      <c r="R24" s="8">
        <v>12</v>
      </c>
    </row>
    <row r="25" spans="1:18">
      <c r="A25" s="7"/>
      <c r="B25" s="7"/>
      <c r="C25" s="8"/>
      <c r="D25" s="8"/>
      <c r="E25" s="8"/>
      <c r="F25" s="8"/>
      <c r="G25" s="7"/>
      <c r="H25" s="7"/>
      <c r="I25" s="8">
        <v>13</v>
      </c>
      <c r="J25" s="7"/>
      <c r="K25" s="26" t="s">
        <v>98</v>
      </c>
      <c r="L25" s="8">
        <f t="shared" si="0"/>
        <v>96</v>
      </c>
      <c r="M25" s="8">
        <v>57</v>
      </c>
      <c r="N25" s="8">
        <v>19</v>
      </c>
      <c r="O25" s="8">
        <v>20</v>
      </c>
      <c r="P25" s="9" t="s">
        <v>61</v>
      </c>
      <c r="Q25" s="9" t="s">
        <v>62</v>
      </c>
      <c r="R25" s="8">
        <v>13</v>
      </c>
    </row>
    <row r="26" spans="1:18">
      <c r="A26" s="7"/>
      <c r="B26" s="7"/>
      <c r="C26" s="8"/>
      <c r="D26" s="8"/>
      <c r="E26" s="8"/>
      <c r="F26" s="8"/>
      <c r="G26" s="7"/>
      <c r="H26" s="7"/>
      <c r="I26" s="8">
        <v>14</v>
      </c>
      <c r="J26" s="7"/>
      <c r="K26" s="26" t="s">
        <v>63</v>
      </c>
      <c r="L26" s="8">
        <f t="shared" si="0"/>
        <v>82</v>
      </c>
      <c r="M26" s="8">
        <v>54</v>
      </c>
      <c r="N26" s="8">
        <v>8</v>
      </c>
      <c r="O26" s="8">
        <v>20</v>
      </c>
      <c r="P26" s="9" t="s">
        <v>64</v>
      </c>
      <c r="Q26" s="9" t="s">
        <v>65</v>
      </c>
      <c r="R26" s="8">
        <v>14</v>
      </c>
    </row>
    <row r="27" spans="1:18">
      <c r="A27" s="7"/>
      <c r="B27" s="7"/>
      <c r="C27" s="8"/>
      <c r="D27" s="8"/>
      <c r="E27" s="8"/>
      <c r="F27" s="8"/>
      <c r="G27" s="7"/>
      <c r="H27" s="7"/>
      <c r="I27" s="8">
        <v>15</v>
      </c>
      <c r="J27" s="7"/>
      <c r="K27" s="26" t="s">
        <v>82</v>
      </c>
      <c r="L27" s="8">
        <f t="shared" si="0"/>
        <v>90</v>
      </c>
      <c r="M27" s="8">
        <v>54</v>
      </c>
      <c r="N27" s="8">
        <v>16</v>
      </c>
      <c r="O27" s="8">
        <v>20</v>
      </c>
      <c r="P27" s="9" t="s">
        <v>54</v>
      </c>
      <c r="Q27" s="9" t="s">
        <v>67</v>
      </c>
      <c r="R27" s="8">
        <v>15</v>
      </c>
    </row>
    <row r="28" spans="1:18">
      <c r="A28" s="7"/>
      <c r="B28" s="7"/>
      <c r="C28" s="8"/>
      <c r="D28" s="8"/>
      <c r="E28" s="8"/>
      <c r="F28" s="8"/>
      <c r="G28" s="7"/>
      <c r="H28" s="7"/>
      <c r="I28" s="8">
        <v>16</v>
      </c>
      <c r="J28" s="7"/>
      <c r="K28" s="26" t="s">
        <v>84</v>
      </c>
      <c r="L28" s="8">
        <f t="shared" si="0"/>
        <v>84</v>
      </c>
      <c r="M28" s="8">
        <v>53</v>
      </c>
      <c r="N28" s="8">
        <v>11</v>
      </c>
      <c r="O28" s="8">
        <v>20</v>
      </c>
      <c r="P28" s="9" t="s">
        <v>68</v>
      </c>
      <c r="Q28" s="9" t="s">
        <v>69</v>
      </c>
      <c r="R28" s="8">
        <v>16</v>
      </c>
    </row>
    <row r="29" spans="1:18">
      <c r="A29" s="7"/>
      <c r="B29" s="7"/>
      <c r="C29" s="8"/>
      <c r="D29" s="8"/>
      <c r="E29" s="8"/>
      <c r="F29" s="8"/>
      <c r="G29" s="7"/>
      <c r="H29" s="7"/>
      <c r="I29" s="8">
        <v>17</v>
      </c>
      <c r="J29" s="7"/>
      <c r="K29" s="26" t="s">
        <v>84</v>
      </c>
      <c r="L29" s="8">
        <f t="shared" si="0"/>
        <v>84</v>
      </c>
      <c r="M29" s="8">
        <v>49</v>
      </c>
      <c r="N29" s="8">
        <v>15</v>
      </c>
      <c r="O29" s="8">
        <v>20</v>
      </c>
      <c r="P29" s="9" t="s">
        <v>70</v>
      </c>
      <c r="Q29" s="9" t="s">
        <v>71</v>
      </c>
      <c r="R29" s="8">
        <v>17</v>
      </c>
    </row>
    <row r="30" spans="1:18">
      <c r="A30" s="7"/>
      <c r="B30" s="7"/>
      <c r="C30" s="8"/>
      <c r="D30" s="8"/>
      <c r="E30" s="8"/>
      <c r="F30" s="8"/>
      <c r="G30" s="7"/>
      <c r="H30" s="7"/>
      <c r="I30" s="8">
        <v>18</v>
      </c>
      <c r="J30" s="7"/>
      <c r="K30" s="26" t="s">
        <v>27</v>
      </c>
      <c r="L30" s="8">
        <f t="shared" si="0"/>
        <v>80</v>
      </c>
      <c r="M30" s="8">
        <v>40</v>
      </c>
      <c r="N30" s="8">
        <v>20</v>
      </c>
      <c r="O30" s="8">
        <v>20</v>
      </c>
      <c r="P30" s="9" t="s">
        <v>72</v>
      </c>
      <c r="Q30" s="9" t="s">
        <v>73</v>
      </c>
      <c r="R30" s="8">
        <v>18</v>
      </c>
    </row>
    <row r="31" spans="1:18">
      <c r="A31" s="7"/>
      <c r="B31" s="7"/>
      <c r="C31" s="8"/>
      <c r="D31" s="8"/>
      <c r="E31" s="8"/>
      <c r="F31" s="8"/>
      <c r="G31" s="7"/>
      <c r="H31" s="7"/>
      <c r="I31" s="8">
        <v>66</v>
      </c>
      <c r="J31" s="7"/>
      <c r="K31" s="7"/>
      <c r="L31" s="8"/>
      <c r="M31" s="8"/>
      <c r="N31" s="8"/>
      <c r="O31" s="8"/>
      <c r="P31" s="9"/>
      <c r="Q31" s="9"/>
      <c r="R31" s="8">
        <v>24</v>
      </c>
    </row>
    <row r="32" spans="1:18">
      <c r="A32" s="7"/>
      <c r="B32" s="7"/>
      <c r="C32" s="8"/>
      <c r="D32" s="8"/>
      <c r="E32" s="8"/>
      <c r="F32" s="8"/>
      <c r="G32" s="7"/>
      <c r="H32" s="7"/>
      <c r="I32" s="8">
        <v>67</v>
      </c>
      <c r="J32" s="7"/>
      <c r="K32" s="7"/>
      <c r="L32" s="8"/>
      <c r="M32" s="8"/>
      <c r="N32" s="8"/>
      <c r="O32" s="8"/>
      <c r="P32" s="9"/>
      <c r="Q32" s="9"/>
      <c r="R32" s="8">
        <v>25</v>
      </c>
    </row>
    <row r="33" spans="1:18" ht="18.5">
      <c r="A33" s="7"/>
      <c r="B33" s="7"/>
      <c r="C33" s="8"/>
      <c r="D33" s="8"/>
      <c r="E33" s="8"/>
      <c r="F33" s="8"/>
      <c r="G33" s="7"/>
      <c r="H33" s="7"/>
      <c r="I33" s="8">
        <v>68</v>
      </c>
      <c r="J33" s="7"/>
      <c r="K33" s="7"/>
      <c r="L33" s="8"/>
      <c r="M33" s="8"/>
      <c r="N33" s="8"/>
      <c r="O33" s="8"/>
      <c r="P33" s="10"/>
      <c r="Q33" s="10"/>
      <c r="R33" s="8">
        <v>26</v>
      </c>
    </row>
    <row r="34" spans="1:18" ht="18.5">
      <c r="A34" s="7"/>
      <c r="B34" s="7"/>
      <c r="C34" s="8"/>
      <c r="D34" s="8"/>
      <c r="E34" s="8"/>
      <c r="F34" s="8"/>
      <c r="G34" s="7"/>
      <c r="H34" s="7"/>
      <c r="I34" s="8">
        <v>69</v>
      </c>
      <c r="J34" s="7"/>
      <c r="K34" s="7"/>
      <c r="L34" s="8"/>
      <c r="M34" s="8"/>
      <c r="N34" s="8"/>
      <c r="O34" s="8"/>
      <c r="P34" s="10"/>
      <c r="Q34" s="10"/>
      <c r="R34" s="8">
        <v>27</v>
      </c>
    </row>
    <row r="35" spans="1:18" ht="18.5">
      <c r="A35" s="7"/>
      <c r="B35" s="7"/>
      <c r="C35" s="8"/>
      <c r="D35" s="8"/>
      <c r="E35" s="8"/>
      <c r="F35" s="8"/>
      <c r="G35" s="7"/>
      <c r="H35" s="7"/>
      <c r="I35" s="8">
        <v>70</v>
      </c>
      <c r="J35" s="7"/>
      <c r="K35" s="7"/>
      <c r="L35" s="8"/>
      <c r="M35" s="8"/>
      <c r="N35" s="8"/>
      <c r="O35" s="8"/>
      <c r="P35" s="10"/>
      <c r="Q35" s="10"/>
      <c r="R35" s="8">
        <v>28</v>
      </c>
    </row>
    <row r="36" spans="1:18" ht="18.5">
      <c r="A36" s="7"/>
      <c r="B36" s="7"/>
      <c r="C36" s="8"/>
      <c r="D36" s="8"/>
      <c r="E36" s="8"/>
      <c r="F36" s="8"/>
      <c r="G36" s="7"/>
      <c r="H36" s="7"/>
      <c r="I36" s="8">
        <v>71</v>
      </c>
      <c r="J36" s="7"/>
      <c r="K36" s="7"/>
      <c r="L36" s="8"/>
      <c r="M36" s="8"/>
      <c r="N36" s="8"/>
      <c r="O36" s="8"/>
      <c r="P36" s="10"/>
      <c r="Q36" s="10"/>
      <c r="R36" s="8">
        <v>29</v>
      </c>
    </row>
    <row r="37" spans="1:18">
      <c r="A37" s="7"/>
      <c r="B37" s="7"/>
      <c r="C37" s="8"/>
      <c r="D37" s="8"/>
      <c r="E37" s="8"/>
      <c r="F37" s="8"/>
      <c r="G37" s="7"/>
      <c r="H37" s="7"/>
      <c r="I37" s="8">
        <v>72</v>
      </c>
      <c r="J37" s="7"/>
      <c r="K37" s="7"/>
      <c r="L37" s="8"/>
      <c r="M37" s="8"/>
      <c r="N37" s="8"/>
      <c r="O37" s="8"/>
      <c r="P37" s="9"/>
      <c r="Q37" s="9"/>
      <c r="R37" s="8">
        <v>30</v>
      </c>
    </row>
    <row r="38" spans="1:18">
      <c r="A38" s="7"/>
      <c r="B38" s="7"/>
      <c r="C38" s="8"/>
      <c r="D38" s="8"/>
      <c r="E38" s="8"/>
      <c r="F38" s="8"/>
      <c r="G38" s="7"/>
      <c r="H38" s="7"/>
      <c r="I38" s="8">
        <v>73</v>
      </c>
      <c r="J38" s="7"/>
      <c r="K38" s="7"/>
      <c r="L38" s="8"/>
      <c r="M38" s="8"/>
      <c r="N38" s="8"/>
      <c r="O38" s="8"/>
      <c r="P38" s="9"/>
      <c r="Q38" s="9"/>
      <c r="R38" s="8">
        <v>31</v>
      </c>
    </row>
    <row r="39" spans="1:18">
      <c r="A39" s="7"/>
      <c r="B39" s="7"/>
      <c r="C39" s="8"/>
      <c r="D39" s="8"/>
      <c r="E39" s="8"/>
      <c r="F39" s="8"/>
      <c r="G39" s="7"/>
      <c r="H39" s="7"/>
      <c r="I39" s="8">
        <v>74</v>
      </c>
      <c r="J39" s="7"/>
      <c r="K39" s="7"/>
      <c r="L39" s="8"/>
      <c r="M39" s="8"/>
      <c r="N39" s="8"/>
      <c r="O39" s="8"/>
      <c r="P39" s="9"/>
      <c r="Q39" s="9"/>
      <c r="R39" s="8">
        <v>32</v>
      </c>
    </row>
    <row r="40" spans="1:18">
      <c r="A40" s="7"/>
      <c r="B40" s="7"/>
      <c r="C40" s="8"/>
      <c r="D40" s="8"/>
      <c r="E40" s="8"/>
      <c r="F40" s="8"/>
      <c r="G40" s="7"/>
      <c r="H40" s="7"/>
      <c r="I40" s="8">
        <v>75</v>
      </c>
      <c r="J40" s="7"/>
      <c r="K40" s="7"/>
      <c r="L40" s="8"/>
      <c r="M40" s="8"/>
      <c r="N40" s="8"/>
      <c r="O40" s="8"/>
      <c r="P40" s="9"/>
      <c r="Q40" s="9"/>
      <c r="R40" s="8">
        <v>33</v>
      </c>
    </row>
    <row r="41" spans="1:18">
      <c r="A41" s="7"/>
      <c r="B41" s="7"/>
      <c r="C41" s="8"/>
      <c r="D41" s="8"/>
      <c r="E41" s="8"/>
      <c r="F41" s="8"/>
      <c r="G41" s="7"/>
      <c r="H41" s="7"/>
      <c r="I41" s="8">
        <v>76</v>
      </c>
      <c r="J41" s="7"/>
      <c r="K41" s="7"/>
      <c r="L41" s="8"/>
      <c r="M41" s="8"/>
      <c r="N41" s="8"/>
      <c r="O41" s="8"/>
      <c r="P41" s="9"/>
      <c r="Q41" s="9"/>
      <c r="R41" s="8">
        <v>34</v>
      </c>
    </row>
    <row r="42" spans="1:18">
      <c r="A42" s="44" t="s">
        <v>74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</row>
    <row r="43" spans="1:18">
      <c r="E43" s="11" t="s">
        <v>75</v>
      </c>
      <c r="M43" s="11" t="s">
        <v>76</v>
      </c>
    </row>
  </sheetData>
  <mergeCells count="30">
    <mergeCell ref="A1:R1"/>
    <mergeCell ref="A2:R2"/>
    <mergeCell ref="A3:R3"/>
    <mergeCell ref="A4:R4"/>
    <mergeCell ref="A5:R5"/>
    <mergeCell ref="A6:R6"/>
    <mergeCell ref="B7:D7"/>
    <mergeCell ref="G7:I7"/>
    <mergeCell ref="L7:O7"/>
    <mergeCell ref="A9:D9"/>
    <mergeCell ref="E9:F9"/>
    <mergeCell ref="H9:J9"/>
    <mergeCell ref="L9:O9"/>
    <mergeCell ref="P9:Q9"/>
    <mergeCell ref="A42:R42"/>
    <mergeCell ref="A10:R10"/>
    <mergeCell ref="A11:A12"/>
    <mergeCell ref="B11:C11"/>
    <mergeCell ref="D11:D12"/>
    <mergeCell ref="E11:E12"/>
    <mergeCell ref="F11:F12"/>
    <mergeCell ref="G11:H11"/>
    <mergeCell ref="I11:I12"/>
    <mergeCell ref="J11:J12"/>
    <mergeCell ref="K11:L11"/>
    <mergeCell ref="M11:M12"/>
    <mergeCell ref="N11:N12"/>
    <mergeCell ref="O11:O12"/>
    <mergeCell ref="P11:Q11"/>
    <mergeCell ref="R11:R12"/>
  </mergeCells>
  <pageMargins left="0.27083333333333298" right="0.41666666666666702" top="0.15625" bottom="0.114583333333333" header="0.511811023622047" footer="0.511811023622047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3"/>
  <sheetViews>
    <sheetView topLeftCell="A8" zoomScaleNormal="100" workbookViewId="0">
      <selection activeCell="P25" sqref="P25"/>
    </sheetView>
  </sheetViews>
  <sheetFormatPr defaultColWidth="9.1796875" defaultRowHeight="14.5"/>
  <cols>
    <col min="1" max="1" width="3.7265625" customWidth="1"/>
    <col min="2" max="3" width="4.7265625" customWidth="1"/>
    <col min="4" max="6" width="4" customWidth="1"/>
    <col min="7" max="8" width="9.7265625" customWidth="1"/>
    <col min="9" max="9" width="3.54296875" style="1" customWidth="1"/>
    <col min="10" max="10" width="3.7265625" customWidth="1"/>
    <col min="11" max="12" width="4.7265625" customWidth="1"/>
    <col min="13" max="15" width="4.1796875" customWidth="1"/>
    <col min="16" max="17" width="10.7265625" customWidth="1"/>
    <col min="18" max="18" width="3.7265625" style="1" customWidth="1"/>
  </cols>
  <sheetData>
    <row r="1" spans="1:18" ht="13.5" customHeight="1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</row>
    <row r="2" spans="1:18" ht="13.5" customHeight="1">
      <c r="A2" s="29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</row>
    <row r="3" spans="1:18" ht="13.5" customHeight="1">
      <c r="A3" s="29" t="s">
        <v>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</row>
    <row r="4" spans="1:18" ht="13.5" customHeight="1">
      <c r="A4" s="29" t="s">
        <v>3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</row>
    <row r="5" spans="1:18" ht="13.5" customHeight="1">
      <c r="A5" s="29" t="s">
        <v>4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</row>
    <row r="6" spans="1:18" ht="13.5" customHeight="1">
      <c r="A6" s="36" t="s">
        <v>5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</row>
    <row r="7" spans="1:18" ht="15.75" customHeight="1">
      <c r="B7" s="37" t="s">
        <v>6</v>
      </c>
      <c r="C7" s="37"/>
      <c r="D7" s="37"/>
      <c r="G7" s="38" t="s">
        <v>7</v>
      </c>
      <c r="H7" s="38"/>
      <c r="I7" s="38"/>
      <c r="J7" s="2"/>
      <c r="K7" s="1"/>
      <c r="L7" s="39" t="s">
        <v>8</v>
      </c>
      <c r="M7" s="39"/>
      <c r="N7" s="39"/>
      <c r="O7" s="39"/>
      <c r="P7" s="3" t="s">
        <v>9</v>
      </c>
      <c r="Q7" s="4" t="s">
        <v>10</v>
      </c>
    </row>
    <row r="8" spans="1:18" ht="6.75" customHeight="1"/>
    <row r="9" spans="1:18">
      <c r="A9" s="40" t="s">
        <v>106</v>
      </c>
      <c r="B9" s="40"/>
      <c r="C9" s="40"/>
      <c r="D9" s="40"/>
      <c r="E9" s="41" t="s">
        <v>12</v>
      </c>
      <c r="F9" s="41"/>
      <c r="H9" s="41" t="s">
        <v>13</v>
      </c>
      <c r="I9" s="41"/>
      <c r="J9" s="41"/>
      <c r="L9" s="42" t="s">
        <v>107</v>
      </c>
      <c r="M9" s="42"/>
      <c r="N9" s="42"/>
      <c r="O9" s="42"/>
      <c r="P9" s="43" t="s">
        <v>108</v>
      </c>
      <c r="Q9" s="43"/>
    </row>
    <row r="10" spans="1:18" ht="7.5" customHeight="1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</row>
    <row r="11" spans="1:18" ht="18" customHeight="1">
      <c r="A11" s="30" t="s">
        <v>16</v>
      </c>
      <c r="B11" s="31" t="s">
        <v>17</v>
      </c>
      <c r="C11" s="31"/>
      <c r="D11" s="32" t="s">
        <v>18</v>
      </c>
      <c r="E11" s="32" t="s">
        <v>19</v>
      </c>
      <c r="F11" s="30" t="s">
        <v>20</v>
      </c>
      <c r="G11" s="33" t="s">
        <v>21</v>
      </c>
      <c r="H11" s="33"/>
      <c r="I11" s="34" t="s">
        <v>22</v>
      </c>
      <c r="J11" s="30" t="s">
        <v>16</v>
      </c>
      <c r="K11" s="35" t="s">
        <v>17</v>
      </c>
      <c r="L11" s="35"/>
      <c r="M11" s="32" t="s">
        <v>18</v>
      </c>
      <c r="N11" s="32" t="s">
        <v>19</v>
      </c>
      <c r="O11" s="30" t="s">
        <v>20</v>
      </c>
      <c r="P11" s="33" t="s">
        <v>21</v>
      </c>
      <c r="Q11" s="33"/>
      <c r="R11" s="34" t="s">
        <v>22</v>
      </c>
    </row>
    <row r="12" spans="1:18" ht="25.5" customHeight="1">
      <c r="A12" s="30"/>
      <c r="B12" s="6" t="s">
        <v>23</v>
      </c>
      <c r="C12" s="6" t="s">
        <v>24</v>
      </c>
      <c r="D12" s="32"/>
      <c r="E12" s="32"/>
      <c r="F12" s="32"/>
      <c r="G12" s="5" t="s">
        <v>25</v>
      </c>
      <c r="H12" s="5" t="s">
        <v>26</v>
      </c>
      <c r="I12" s="34"/>
      <c r="J12" s="34"/>
      <c r="K12" s="6" t="s">
        <v>23</v>
      </c>
      <c r="L12" s="6" t="s">
        <v>24</v>
      </c>
      <c r="M12" s="32"/>
      <c r="N12" s="32"/>
      <c r="O12" s="32"/>
      <c r="P12" s="5" t="s">
        <v>25</v>
      </c>
      <c r="Q12" s="5" t="s">
        <v>26</v>
      </c>
      <c r="R12" s="34"/>
    </row>
    <row r="13" spans="1:18">
      <c r="A13" s="7"/>
      <c r="B13" s="7"/>
      <c r="C13" s="8"/>
      <c r="D13" s="8"/>
      <c r="E13" s="8"/>
      <c r="F13" s="8"/>
      <c r="G13" s="7"/>
      <c r="H13" s="7"/>
      <c r="I13" s="8">
        <v>1</v>
      </c>
      <c r="J13" s="7"/>
      <c r="K13" s="26" t="s">
        <v>99</v>
      </c>
      <c r="L13" s="8">
        <f t="shared" ref="L13:L30" si="0">SUM(M13:O13)</f>
        <v>78</v>
      </c>
      <c r="M13" s="8">
        <v>43</v>
      </c>
      <c r="N13" s="8">
        <v>15</v>
      </c>
      <c r="O13" s="8">
        <v>20</v>
      </c>
      <c r="P13" s="9" t="s">
        <v>28</v>
      </c>
      <c r="Q13" s="9" t="s">
        <v>29</v>
      </c>
      <c r="R13" s="8">
        <v>1</v>
      </c>
    </row>
    <row r="14" spans="1:18">
      <c r="A14" s="7"/>
      <c r="B14" s="7"/>
      <c r="C14" s="8"/>
      <c r="D14" s="8"/>
      <c r="E14" s="8"/>
      <c r="F14" s="8"/>
      <c r="G14" s="7"/>
      <c r="H14" s="7"/>
      <c r="I14" s="8">
        <v>2</v>
      </c>
      <c r="J14" s="7"/>
      <c r="K14" s="26" t="s">
        <v>38</v>
      </c>
      <c r="L14" s="8">
        <f t="shared" si="0"/>
        <v>88</v>
      </c>
      <c r="M14" s="8">
        <v>57</v>
      </c>
      <c r="N14" s="8">
        <v>11</v>
      </c>
      <c r="O14" s="8">
        <v>20</v>
      </c>
      <c r="P14" s="9" t="s">
        <v>30</v>
      </c>
      <c r="Q14" s="9" t="s">
        <v>31</v>
      </c>
      <c r="R14" s="8">
        <v>2</v>
      </c>
    </row>
    <row r="15" spans="1:18">
      <c r="A15" s="7"/>
      <c r="B15" s="7"/>
      <c r="C15" s="8"/>
      <c r="D15" s="8"/>
      <c r="E15" s="8"/>
      <c r="F15" s="8"/>
      <c r="G15" s="7"/>
      <c r="H15" s="7"/>
      <c r="I15" s="8">
        <v>3</v>
      </c>
      <c r="J15" s="7"/>
      <c r="K15" s="26" t="s">
        <v>109</v>
      </c>
      <c r="L15" s="8">
        <f t="shared" si="0"/>
        <v>65</v>
      </c>
      <c r="M15" s="8">
        <v>35</v>
      </c>
      <c r="N15" s="8">
        <v>10</v>
      </c>
      <c r="O15" s="8">
        <v>20</v>
      </c>
      <c r="P15" s="9" t="s">
        <v>33</v>
      </c>
      <c r="Q15" s="9" t="s">
        <v>34</v>
      </c>
      <c r="R15" s="8">
        <v>3</v>
      </c>
    </row>
    <row r="16" spans="1:18">
      <c r="A16" s="7"/>
      <c r="B16" s="7"/>
      <c r="C16" s="8"/>
      <c r="D16" s="8"/>
      <c r="E16" s="8"/>
      <c r="F16" s="8"/>
      <c r="G16" s="7"/>
      <c r="H16" s="7"/>
      <c r="I16" s="8">
        <v>4</v>
      </c>
      <c r="J16" s="7"/>
      <c r="K16" s="26" t="s">
        <v>84</v>
      </c>
      <c r="L16" s="8">
        <f t="shared" si="0"/>
        <v>84</v>
      </c>
      <c r="M16" s="8">
        <v>49</v>
      </c>
      <c r="N16" s="8">
        <v>15</v>
      </c>
      <c r="O16" s="8">
        <v>20</v>
      </c>
      <c r="P16" s="9" t="s">
        <v>36</v>
      </c>
      <c r="Q16" s="9" t="s">
        <v>37</v>
      </c>
      <c r="R16" s="8">
        <v>4</v>
      </c>
    </row>
    <row r="17" spans="1:18">
      <c r="A17" s="7"/>
      <c r="B17" s="7"/>
      <c r="C17" s="8"/>
      <c r="D17" s="8"/>
      <c r="E17" s="8"/>
      <c r="F17" s="8"/>
      <c r="G17" s="7"/>
      <c r="H17" s="7"/>
      <c r="I17" s="8">
        <v>5</v>
      </c>
      <c r="J17" s="7"/>
      <c r="K17" s="26" t="s">
        <v>85</v>
      </c>
      <c r="L17" s="8">
        <f t="shared" si="0"/>
        <v>74</v>
      </c>
      <c r="M17" s="8">
        <v>40</v>
      </c>
      <c r="N17" s="8">
        <v>14</v>
      </c>
      <c r="O17" s="8">
        <v>20</v>
      </c>
      <c r="P17" s="9" t="s">
        <v>39</v>
      </c>
      <c r="Q17" s="9" t="s">
        <v>40</v>
      </c>
      <c r="R17" s="8">
        <v>5</v>
      </c>
    </row>
    <row r="18" spans="1:18">
      <c r="A18" s="7"/>
      <c r="B18" s="7"/>
      <c r="C18" s="8"/>
      <c r="D18" s="8"/>
      <c r="E18" s="8"/>
      <c r="F18" s="8"/>
      <c r="G18" s="7"/>
      <c r="H18" s="7"/>
      <c r="I18" s="8">
        <v>6</v>
      </c>
      <c r="J18" s="7"/>
      <c r="K18" s="26" t="s">
        <v>47</v>
      </c>
      <c r="L18" s="8">
        <f t="shared" si="0"/>
        <v>94</v>
      </c>
      <c r="M18" s="8">
        <v>57</v>
      </c>
      <c r="N18" s="8">
        <v>17</v>
      </c>
      <c r="O18" s="8">
        <v>20</v>
      </c>
      <c r="P18" s="9" t="s">
        <v>42</v>
      </c>
      <c r="Q18" s="9" t="s">
        <v>43</v>
      </c>
      <c r="R18" s="8">
        <v>6</v>
      </c>
    </row>
    <row r="19" spans="1:18">
      <c r="A19" s="7"/>
      <c r="B19" s="7"/>
      <c r="C19" s="8"/>
      <c r="D19" s="8"/>
      <c r="E19" s="8"/>
      <c r="F19" s="8"/>
      <c r="G19" s="7"/>
      <c r="H19" s="7"/>
      <c r="I19" s="8">
        <v>7</v>
      </c>
      <c r="J19" s="7"/>
      <c r="K19" s="26" t="s">
        <v>81</v>
      </c>
      <c r="L19" s="8">
        <f t="shared" si="0"/>
        <v>100</v>
      </c>
      <c r="M19" s="8">
        <v>60</v>
      </c>
      <c r="N19" s="8">
        <v>20</v>
      </c>
      <c r="O19" s="8">
        <v>20</v>
      </c>
      <c r="P19" s="9" t="s">
        <v>45</v>
      </c>
      <c r="Q19" s="9" t="s">
        <v>46</v>
      </c>
      <c r="R19" s="8">
        <v>7</v>
      </c>
    </row>
    <row r="20" spans="1:18">
      <c r="A20" s="7"/>
      <c r="B20" s="7"/>
      <c r="C20" s="8"/>
      <c r="D20" s="8"/>
      <c r="E20" s="8"/>
      <c r="F20" s="8"/>
      <c r="G20" s="7"/>
      <c r="H20" s="7"/>
      <c r="I20" s="8">
        <v>8</v>
      </c>
      <c r="J20" s="7"/>
      <c r="K20" s="26" t="s">
        <v>110</v>
      </c>
      <c r="L20" s="8">
        <f t="shared" si="0"/>
        <v>81</v>
      </c>
      <c r="M20" s="8">
        <v>50</v>
      </c>
      <c r="N20" s="8">
        <v>11</v>
      </c>
      <c r="O20" s="8">
        <v>20</v>
      </c>
      <c r="P20" s="9" t="s">
        <v>48</v>
      </c>
      <c r="Q20" s="9" t="s">
        <v>49</v>
      </c>
      <c r="R20" s="8">
        <v>8</v>
      </c>
    </row>
    <row r="21" spans="1:18">
      <c r="A21" s="7"/>
      <c r="B21" s="7"/>
      <c r="C21" s="8"/>
      <c r="D21" s="8"/>
      <c r="E21" s="8"/>
      <c r="F21" s="8"/>
      <c r="G21" s="7"/>
      <c r="H21" s="7"/>
      <c r="I21" s="8">
        <v>9</v>
      </c>
      <c r="J21" s="7"/>
      <c r="K21" s="26" t="s">
        <v>60</v>
      </c>
      <c r="L21" s="8">
        <f t="shared" si="0"/>
        <v>91</v>
      </c>
      <c r="M21" s="8">
        <v>51</v>
      </c>
      <c r="N21" s="8">
        <v>20</v>
      </c>
      <c r="O21" s="8">
        <v>20</v>
      </c>
      <c r="P21" s="9" t="s">
        <v>51</v>
      </c>
      <c r="Q21" s="9" t="s">
        <v>52</v>
      </c>
      <c r="R21" s="8">
        <v>9</v>
      </c>
    </row>
    <row r="22" spans="1:18">
      <c r="A22" s="7"/>
      <c r="B22" s="7"/>
      <c r="C22" s="8"/>
      <c r="D22" s="8"/>
      <c r="E22" s="8"/>
      <c r="F22" s="8"/>
      <c r="G22" s="7"/>
      <c r="H22" s="7"/>
      <c r="I22" s="8">
        <v>10</v>
      </c>
      <c r="J22" s="7"/>
      <c r="K22" s="26" t="s">
        <v>85</v>
      </c>
      <c r="L22" s="8">
        <f t="shared" si="0"/>
        <v>74</v>
      </c>
      <c r="M22" s="8">
        <v>38</v>
      </c>
      <c r="N22" s="8">
        <v>16</v>
      </c>
      <c r="O22" s="8">
        <v>20</v>
      </c>
      <c r="P22" s="9" t="s">
        <v>54</v>
      </c>
      <c r="Q22" s="9" t="s">
        <v>55</v>
      </c>
      <c r="R22" s="8">
        <v>10</v>
      </c>
    </row>
    <row r="23" spans="1:18">
      <c r="A23" s="7"/>
      <c r="B23" s="7"/>
      <c r="C23" s="8"/>
      <c r="D23" s="8"/>
      <c r="E23" s="8"/>
      <c r="F23" s="8"/>
      <c r="G23" s="7"/>
      <c r="H23" s="7"/>
      <c r="I23" s="8">
        <v>11</v>
      </c>
      <c r="J23" s="7"/>
      <c r="K23" s="26" t="s">
        <v>100</v>
      </c>
      <c r="L23" s="8">
        <f t="shared" si="0"/>
        <v>93</v>
      </c>
      <c r="M23" s="8">
        <v>53</v>
      </c>
      <c r="N23" s="8">
        <v>20</v>
      </c>
      <c r="O23" s="8">
        <v>20</v>
      </c>
      <c r="P23" s="9" t="s">
        <v>56</v>
      </c>
      <c r="Q23" s="9" t="s">
        <v>57</v>
      </c>
      <c r="R23" s="8">
        <v>11</v>
      </c>
    </row>
    <row r="24" spans="1:18">
      <c r="A24" s="7"/>
      <c r="B24" s="7"/>
      <c r="C24" s="8"/>
      <c r="D24" s="8"/>
      <c r="E24" s="8"/>
      <c r="F24" s="8"/>
      <c r="G24" s="7"/>
      <c r="H24" s="7"/>
      <c r="I24" s="8">
        <v>12</v>
      </c>
      <c r="J24" s="7"/>
      <c r="K24" s="26" t="s">
        <v>85</v>
      </c>
      <c r="L24" s="8">
        <f t="shared" si="0"/>
        <v>74</v>
      </c>
      <c r="M24" s="8">
        <v>37</v>
      </c>
      <c r="N24" s="8">
        <v>17</v>
      </c>
      <c r="O24" s="8">
        <v>20</v>
      </c>
      <c r="P24" s="9" t="s">
        <v>58</v>
      </c>
      <c r="Q24" s="9" t="s">
        <v>59</v>
      </c>
      <c r="R24" s="8">
        <v>12</v>
      </c>
    </row>
    <row r="25" spans="1:18">
      <c r="A25" s="7"/>
      <c r="B25" s="7"/>
      <c r="C25" s="8"/>
      <c r="D25" s="8"/>
      <c r="E25" s="8"/>
      <c r="F25" s="8"/>
      <c r="G25" s="7"/>
      <c r="H25" s="7"/>
      <c r="I25" s="8">
        <v>13</v>
      </c>
      <c r="J25" s="7"/>
      <c r="K25" s="26" t="s">
        <v>89</v>
      </c>
      <c r="L25" s="8">
        <f t="shared" si="0"/>
        <v>83</v>
      </c>
      <c r="M25" s="8">
        <v>58</v>
      </c>
      <c r="N25" s="8">
        <v>5</v>
      </c>
      <c r="O25" s="8">
        <v>20</v>
      </c>
      <c r="P25" s="9" t="s">
        <v>61</v>
      </c>
      <c r="Q25" s="9" t="s">
        <v>62</v>
      </c>
      <c r="R25" s="8">
        <v>13</v>
      </c>
    </row>
    <row r="26" spans="1:18">
      <c r="A26" s="7"/>
      <c r="B26" s="7"/>
      <c r="C26" s="8"/>
      <c r="D26" s="8"/>
      <c r="E26" s="8"/>
      <c r="F26" s="8"/>
      <c r="G26" s="7"/>
      <c r="H26" s="7"/>
      <c r="I26" s="8">
        <v>14</v>
      </c>
      <c r="J26" s="7"/>
      <c r="K26" s="26" t="s">
        <v>111</v>
      </c>
      <c r="L26" s="8">
        <f t="shared" si="0"/>
        <v>71</v>
      </c>
      <c r="M26" s="8">
        <v>33</v>
      </c>
      <c r="N26" s="8">
        <v>18</v>
      </c>
      <c r="O26" s="8">
        <v>20</v>
      </c>
      <c r="P26" s="9" t="s">
        <v>64</v>
      </c>
      <c r="Q26" s="9" t="s">
        <v>65</v>
      </c>
      <c r="R26" s="8">
        <v>14</v>
      </c>
    </row>
    <row r="27" spans="1:18">
      <c r="A27" s="7"/>
      <c r="B27" s="7"/>
      <c r="C27" s="8"/>
      <c r="D27" s="8"/>
      <c r="E27" s="8"/>
      <c r="F27" s="8"/>
      <c r="G27" s="7"/>
      <c r="H27" s="7"/>
      <c r="I27" s="8">
        <v>15</v>
      </c>
      <c r="J27" s="7"/>
      <c r="K27" s="26" t="s">
        <v>99</v>
      </c>
      <c r="L27" s="8">
        <f t="shared" si="0"/>
        <v>78</v>
      </c>
      <c r="M27" s="8">
        <v>46</v>
      </c>
      <c r="N27" s="8">
        <v>12</v>
      </c>
      <c r="O27" s="8">
        <v>20</v>
      </c>
      <c r="P27" s="9" t="s">
        <v>54</v>
      </c>
      <c r="Q27" s="9" t="s">
        <v>67</v>
      </c>
      <c r="R27" s="8">
        <v>15</v>
      </c>
    </row>
    <row r="28" spans="1:18">
      <c r="A28" s="7"/>
      <c r="B28" s="7"/>
      <c r="C28" s="8"/>
      <c r="D28" s="8"/>
      <c r="E28" s="8"/>
      <c r="F28" s="8"/>
      <c r="G28" s="7"/>
      <c r="H28" s="7"/>
      <c r="I28" s="8">
        <v>16</v>
      </c>
      <c r="J28" s="7"/>
      <c r="K28" s="26" t="s">
        <v>80</v>
      </c>
      <c r="L28" s="8">
        <f t="shared" si="0"/>
        <v>60</v>
      </c>
      <c r="M28" s="8">
        <v>32</v>
      </c>
      <c r="N28" s="8">
        <v>8</v>
      </c>
      <c r="O28" s="8">
        <v>20</v>
      </c>
      <c r="P28" s="9" t="s">
        <v>68</v>
      </c>
      <c r="Q28" s="9" t="s">
        <v>69</v>
      </c>
      <c r="R28" s="8">
        <v>16</v>
      </c>
    </row>
    <row r="29" spans="1:18">
      <c r="A29" s="7"/>
      <c r="B29" s="7"/>
      <c r="C29" s="8"/>
      <c r="D29" s="8"/>
      <c r="E29" s="8"/>
      <c r="F29" s="8"/>
      <c r="G29" s="7"/>
      <c r="H29" s="7"/>
      <c r="I29" s="8">
        <v>17</v>
      </c>
      <c r="J29" s="7"/>
      <c r="K29" s="26" t="s">
        <v>100</v>
      </c>
      <c r="L29" s="8">
        <f t="shared" si="0"/>
        <v>93</v>
      </c>
      <c r="M29" s="8">
        <v>56</v>
      </c>
      <c r="N29" s="8">
        <v>17</v>
      </c>
      <c r="O29" s="8">
        <v>20</v>
      </c>
      <c r="P29" s="9" t="s">
        <v>70</v>
      </c>
      <c r="Q29" s="9" t="s">
        <v>71</v>
      </c>
      <c r="R29" s="8">
        <v>17</v>
      </c>
    </row>
    <row r="30" spans="1:18">
      <c r="A30" s="7"/>
      <c r="B30" s="7"/>
      <c r="C30" s="8"/>
      <c r="D30" s="8"/>
      <c r="E30" s="8"/>
      <c r="F30" s="8"/>
      <c r="G30" s="7"/>
      <c r="H30" s="7"/>
      <c r="I30" s="8">
        <v>18</v>
      </c>
      <c r="J30" s="7"/>
      <c r="K30" s="26" t="s">
        <v>82</v>
      </c>
      <c r="L30" s="8">
        <f t="shared" si="0"/>
        <v>90</v>
      </c>
      <c r="M30" s="8">
        <v>59</v>
      </c>
      <c r="N30" s="8">
        <v>11</v>
      </c>
      <c r="O30" s="8">
        <v>20</v>
      </c>
      <c r="P30" s="9" t="s">
        <v>72</v>
      </c>
      <c r="Q30" s="9" t="s">
        <v>73</v>
      </c>
      <c r="R30" s="8">
        <v>18</v>
      </c>
    </row>
    <row r="31" spans="1:18">
      <c r="A31" s="7"/>
      <c r="B31" s="7"/>
      <c r="C31" s="8"/>
      <c r="D31" s="8"/>
      <c r="E31" s="8"/>
      <c r="F31" s="8"/>
      <c r="G31" s="7"/>
      <c r="H31" s="7"/>
      <c r="I31" s="8">
        <v>66</v>
      </c>
      <c r="J31" s="7"/>
      <c r="K31" s="7"/>
      <c r="L31" s="8">
        <v>0</v>
      </c>
      <c r="M31" s="8"/>
      <c r="N31" s="8"/>
      <c r="O31" s="8"/>
      <c r="P31" s="9"/>
      <c r="Q31" s="9"/>
      <c r="R31" s="8">
        <v>19</v>
      </c>
    </row>
    <row r="32" spans="1:18">
      <c r="A32" s="7"/>
      <c r="B32" s="7"/>
      <c r="C32" s="8"/>
      <c r="D32" s="8"/>
      <c r="E32" s="8"/>
      <c r="F32" s="8"/>
      <c r="G32" s="7"/>
      <c r="H32" s="7"/>
      <c r="I32" s="8">
        <v>67</v>
      </c>
      <c r="J32" s="7"/>
      <c r="K32" s="7"/>
      <c r="L32" s="8">
        <v>0</v>
      </c>
      <c r="M32" s="8"/>
      <c r="N32" s="8"/>
      <c r="O32" s="8"/>
      <c r="P32" s="9"/>
      <c r="Q32" s="9"/>
      <c r="R32" s="8">
        <v>20</v>
      </c>
    </row>
    <row r="33" spans="1:18" ht="18.5">
      <c r="A33" s="7"/>
      <c r="B33" s="7"/>
      <c r="C33" s="8"/>
      <c r="D33" s="8"/>
      <c r="E33" s="8"/>
      <c r="F33" s="8"/>
      <c r="G33" s="7"/>
      <c r="H33" s="7"/>
      <c r="I33" s="8">
        <v>68</v>
      </c>
      <c r="J33" s="7"/>
      <c r="K33" s="7"/>
      <c r="L33" s="8"/>
      <c r="M33" s="8"/>
      <c r="N33" s="8"/>
      <c r="O33" s="8"/>
      <c r="P33" s="10"/>
      <c r="Q33" s="10"/>
      <c r="R33" s="8">
        <v>21</v>
      </c>
    </row>
    <row r="34" spans="1:18" ht="18.5">
      <c r="A34" s="7"/>
      <c r="B34" s="7"/>
      <c r="C34" s="8"/>
      <c r="D34" s="8"/>
      <c r="E34" s="8"/>
      <c r="F34" s="8"/>
      <c r="G34" s="7"/>
      <c r="H34" s="7"/>
      <c r="I34" s="8">
        <v>69</v>
      </c>
      <c r="J34" s="7"/>
      <c r="K34" s="7"/>
      <c r="L34" s="8"/>
      <c r="M34" s="8"/>
      <c r="N34" s="8"/>
      <c r="O34" s="8"/>
      <c r="P34" s="10"/>
      <c r="Q34" s="10"/>
      <c r="R34" s="8">
        <v>22</v>
      </c>
    </row>
    <row r="35" spans="1:18" ht="18.5">
      <c r="A35" s="7"/>
      <c r="B35" s="7"/>
      <c r="C35" s="8"/>
      <c r="D35" s="8"/>
      <c r="E35" s="8"/>
      <c r="F35" s="8"/>
      <c r="G35" s="7"/>
      <c r="H35" s="7"/>
      <c r="I35" s="8">
        <v>70</v>
      </c>
      <c r="J35" s="7"/>
      <c r="K35" s="7"/>
      <c r="L35" s="8"/>
      <c r="M35" s="8"/>
      <c r="N35" s="8"/>
      <c r="O35" s="8"/>
      <c r="P35" s="10"/>
      <c r="Q35" s="10"/>
      <c r="R35" s="8">
        <v>23</v>
      </c>
    </row>
    <row r="36" spans="1:18" ht="18.5">
      <c r="A36" s="7"/>
      <c r="B36" s="7"/>
      <c r="C36" s="8"/>
      <c r="D36" s="8"/>
      <c r="E36" s="8"/>
      <c r="F36" s="8"/>
      <c r="G36" s="7"/>
      <c r="H36" s="7"/>
      <c r="I36" s="8">
        <v>71</v>
      </c>
      <c r="J36" s="7"/>
      <c r="K36" s="7"/>
      <c r="L36" s="8"/>
      <c r="M36" s="8"/>
      <c r="N36" s="8"/>
      <c r="O36" s="8"/>
      <c r="P36" s="10"/>
      <c r="Q36" s="10"/>
      <c r="R36" s="8">
        <v>24</v>
      </c>
    </row>
    <row r="37" spans="1:18">
      <c r="A37" s="7"/>
      <c r="B37" s="7"/>
      <c r="C37" s="8"/>
      <c r="D37" s="8"/>
      <c r="E37" s="8"/>
      <c r="F37" s="8"/>
      <c r="G37" s="7"/>
      <c r="H37" s="7"/>
      <c r="I37" s="8">
        <v>72</v>
      </c>
      <c r="J37" s="7"/>
      <c r="K37" s="7"/>
      <c r="L37" s="8"/>
      <c r="M37" s="8"/>
      <c r="N37" s="8"/>
      <c r="O37" s="8"/>
      <c r="P37" s="9"/>
      <c r="Q37" s="9"/>
      <c r="R37" s="8">
        <v>25</v>
      </c>
    </row>
    <row r="38" spans="1:18">
      <c r="A38" s="7"/>
      <c r="B38" s="7"/>
      <c r="C38" s="8"/>
      <c r="D38" s="8"/>
      <c r="E38" s="8"/>
      <c r="F38" s="8"/>
      <c r="G38" s="7"/>
      <c r="H38" s="7"/>
      <c r="I38" s="8">
        <v>73</v>
      </c>
      <c r="J38" s="7"/>
      <c r="K38" s="7"/>
      <c r="L38" s="8"/>
      <c r="M38" s="8"/>
      <c r="N38" s="8"/>
      <c r="O38" s="8"/>
      <c r="P38" s="9"/>
      <c r="Q38" s="9"/>
      <c r="R38" s="8">
        <v>26</v>
      </c>
    </row>
    <row r="39" spans="1:18">
      <c r="A39" s="7"/>
      <c r="B39" s="7"/>
      <c r="C39" s="8"/>
      <c r="D39" s="8"/>
      <c r="E39" s="8"/>
      <c r="F39" s="8"/>
      <c r="G39" s="7"/>
      <c r="H39" s="7"/>
      <c r="I39" s="8">
        <v>74</v>
      </c>
      <c r="J39" s="7"/>
      <c r="K39" s="7"/>
      <c r="L39" s="8"/>
      <c r="M39" s="8"/>
      <c r="N39" s="8"/>
      <c r="O39" s="8"/>
      <c r="P39" s="9"/>
      <c r="Q39" s="9"/>
      <c r="R39" s="8">
        <v>27</v>
      </c>
    </row>
    <row r="40" spans="1:18">
      <c r="A40" s="7"/>
      <c r="B40" s="7"/>
      <c r="C40" s="8"/>
      <c r="D40" s="8"/>
      <c r="E40" s="8"/>
      <c r="F40" s="8"/>
      <c r="G40" s="7"/>
      <c r="H40" s="7"/>
      <c r="I40" s="8">
        <v>75</v>
      </c>
      <c r="J40" s="7"/>
      <c r="K40" s="7"/>
      <c r="L40" s="8"/>
      <c r="M40" s="8"/>
      <c r="N40" s="8"/>
      <c r="O40" s="8"/>
      <c r="P40" s="9"/>
      <c r="Q40" s="9"/>
      <c r="R40" s="8">
        <v>33</v>
      </c>
    </row>
    <row r="41" spans="1:18">
      <c r="A41" s="7"/>
      <c r="B41" s="7"/>
      <c r="C41" s="8"/>
      <c r="D41" s="8"/>
      <c r="E41" s="8"/>
      <c r="F41" s="8"/>
      <c r="G41" s="7"/>
      <c r="H41" s="7"/>
      <c r="I41" s="8">
        <v>76</v>
      </c>
      <c r="J41" s="7"/>
      <c r="K41" s="7"/>
      <c r="L41" s="8"/>
      <c r="M41" s="8"/>
      <c r="N41" s="8"/>
      <c r="O41" s="8"/>
      <c r="P41" s="9"/>
      <c r="Q41" s="9"/>
      <c r="R41" s="8">
        <v>34</v>
      </c>
    </row>
    <row r="42" spans="1:18">
      <c r="A42" s="44" t="s">
        <v>74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</row>
    <row r="43" spans="1:18">
      <c r="E43" s="11" t="s">
        <v>75</v>
      </c>
      <c r="M43" s="11" t="s">
        <v>76</v>
      </c>
    </row>
  </sheetData>
  <mergeCells count="30">
    <mergeCell ref="A1:R1"/>
    <mergeCell ref="A2:R2"/>
    <mergeCell ref="A3:R3"/>
    <mergeCell ref="A4:R4"/>
    <mergeCell ref="A5:R5"/>
    <mergeCell ref="A6:R6"/>
    <mergeCell ref="B7:D7"/>
    <mergeCell ref="G7:I7"/>
    <mergeCell ref="L7:O7"/>
    <mergeCell ref="A9:D9"/>
    <mergeCell ref="E9:F9"/>
    <mergeCell ref="H9:J9"/>
    <mergeCell ref="L9:O9"/>
    <mergeCell ref="P9:Q9"/>
    <mergeCell ref="A42:R42"/>
    <mergeCell ref="A10:R10"/>
    <mergeCell ref="A11:A12"/>
    <mergeCell ref="B11:C11"/>
    <mergeCell ref="D11:D12"/>
    <mergeCell ref="E11:E12"/>
    <mergeCell ref="F11:F12"/>
    <mergeCell ref="G11:H11"/>
    <mergeCell ref="I11:I12"/>
    <mergeCell ref="J11:J12"/>
    <mergeCell ref="K11:L11"/>
    <mergeCell ref="M11:M12"/>
    <mergeCell ref="N11:N12"/>
    <mergeCell ref="O11:O12"/>
    <mergeCell ref="P11:Q11"/>
    <mergeCell ref="R11:R12"/>
  </mergeCells>
  <pageMargins left="0.25" right="0.33333333333333298" top="0.15625" bottom="0.114583333333333" header="0.511811023622047" footer="0.511811023622047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3"/>
  <sheetViews>
    <sheetView topLeftCell="A13" zoomScaleNormal="100" workbookViewId="0">
      <selection activeCell="O29" sqref="O29"/>
    </sheetView>
  </sheetViews>
  <sheetFormatPr defaultColWidth="9.1796875" defaultRowHeight="14.5"/>
  <cols>
    <col min="1" max="1" width="3.7265625" customWidth="1"/>
    <col min="2" max="3" width="4.7265625" customWidth="1"/>
    <col min="4" max="6" width="4.26953125" customWidth="1"/>
    <col min="7" max="8" width="9.26953125" customWidth="1"/>
    <col min="9" max="9" width="3.54296875" style="1" customWidth="1"/>
    <col min="10" max="10" width="3.7265625" customWidth="1"/>
    <col min="11" max="12" width="4.7265625" customWidth="1"/>
    <col min="13" max="15" width="4" customWidth="1"/>
    <col min="16" max="17" width="10.7265625" customWidth="1"/>
    <col min="18" max="18" width="3.7265625" style="1" customWidth="1"/>
  </cols>
  <sheetData>
    <row r="1" spans="1:18" ht="12.75" customHeight="1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</row>
    <row r="2" spans="1:18" ht="12.75" customHeight="1">
      <c r="A2" s="29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</row>
    <row r="3" spans="1:18" ht="12.75" customHeight="1">
      <c r="A3" s="29" t="s">
        <v>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</row>
    <row r="4" spans="1:18" ht="12.75" customHeight="1">
      <c r="A4" s="29" t="s">
        <v>3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</row>
    <row r="5" spans="1:18" ht="12.75" customHeight="1">
      <c r="A5" s="29" t="s">
        <v>4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</row>
    <row r="6" spans="1:18" ht="12.75" customHeight="1">
      <c r="A6" s="36" t="s">
        <v>5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</row>
    <row r="7" spans="1:18" ht="15.75" customHeight="1">
      <c r="B7" s="37" t="s">
        <v>6</v>
      </c>
      <c r="C7" s="37"/>
      <c r="D7" s="37"/>
      <c r="G7" s="38" t="s">
        <v>7</v>
      </c>
      <c r="H7" s="38"/>
      <c r="I7" s="38"/>
      <c r="J7" s="2"/>
      <c r="K7" s="1"/>
      <c r="L7" s="39" t="s">
        <v>8</v>
      </c>
      <c r="M7" s="39"/>
      <c r="N7" s="39"/>
      <c r="O7" s="39"/>
      <c r="P7" s="3" t="s">
        <v>9</v>
      </c>
      <c r="Q7" s="4" t="s">
        <v>10</v>
      </c>
    </row>
    <row r="8" spans="1:18" ht="6.75" customHeight="1"/>
    <row r="9" spans="1:18">
      <c r="A9" s="40" t="s">
        <v>112</v>
      </c>
      <c r="B9" s="40"/>
      <c r="C9" s="40"/>
      <c r="D9" s="40"/>
      <c r="E9" s="41" t="s">
        <v>12</v>
      </c>
      <c r="F9" s="41"/>
      <c r="H9" s="41" t="s">
        <v>13</v>
      </c>
      <c r="I9" s="41"/>
      <c r="J9" s="41"/>
      <c r="L9" s="42" t="s">
        <v>104</v>
      </c>
      <c r="M9" s="42"/>
      <c r="N9" s="42"/>
      <c r="O9" s="42"/>
      <c r="P9" s="45" t="s">
        <v>113</v>
      </c>
      <c r="Q9" s="45"/>
    </row>
    <row r="10" spans="1:18" ht="7.5" customHeight="1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</row>
    <row r="11" spans="1:18" ht="19.5" customHeight="1">
      <c r="A11" s="30" t="s">
        <v>16</v>
      </c>
      <c r="B11" s="31" t="s">
        <v>17</v>
      </c>
      <c r="C11" s="31"/>
      <c r="D11" s="32" t="s">
        <v>18</v>
      </c>
      <c r="E11" s="32" t="s">
        <v>19</v>
      </c>
      <c r="F11" s="30" t="s">
        <v>20</v>
      </c>
      <c r="G11" s="33" t="s">
        <v>21</v>
      </c>
      <c r="H11" s="33"/>
      <c r="I11" s="34" t="s">
        <v>22</v>
      </c>
      <c r="J11" s="30" t="s">
        <v>16</v>
      </c>
      <c r="K11" s="35" t="s">
        <v>17</v>
      </c>
      <c r="L11" s="35"/>
      <c r="M11" s="32" t="s">
        <v>18</v>
      </c>
      <c r="N11" s="32" t="s">
        <v>19</v>
      </c>
      <c r="O11" s="30" t="s">
        <v>20</v>
      </c>
      <c r="P11" s="33" t="s">
        <v>21</v>
      </c>
      <c r="Q11" s="33"/>
      <c r="R11" s="34" t="s">
        <v>22</v>
      </c>
    </row>
    <row r="12" spans="1:18" ht="25.5" customHeight="1">
      <c r="A12" s="30"/>
      <c r="B12" s="6" t="s">
        <v>23</v>
      </c>
      <c r="C12" s="6" t="s">
        <v>24</v>
      </c>
      <c r="D12" s="32"/>
      <c r="E12" s="32"/>
      <c r="F12" s="32"/>
      <c r="G12" s="5" t="s">
        <v>25</v>
      </c>
      <c r="H12" s="5" t="s">
        <v>26</v>
      </c>
      <c r="I12" s="34"/>
      <c r="J12" s="34"/>
      <c r="K12" s="6" t="s">
        <v>23</v>
      </c>
      <c r="L12" s="6" t="s">
        <v>24</v>
      </c>
      <c r="M12" s="32"/>
      <c r="N12" s="32"/>
      <c r="O12" s="32"/>
      <c r="P12" s="5" t="s">
        <v>25</v>
      </c>
      <c r="Q12" s="5" t="s">
        <v>26</v>
      </c>
      <c r="R12" s="34"/>
    </row>
    <row r="13" spans="1:18">
      <c r="A13" s="7"/>
      <c r="B13" s="7"/>
      <c r="C13" s="8"/>
      <c r="D13" s="8"/>
      <c r="E13" s="8"/>
      <c r="F13" s="8"/>
      <c r="G13" s="7"/>
      <c r="H13" s="7"/>
      <c r="I13" s="8">
        <v>1</v>
      </c>
      <c r="J13" s="7"/>
      <c r="K13" s="26" t="s">
        <v>97</v>
      </c>
      <c r="L13" s="8">
        <f t="shared" ref="L13:L30" si="0">SUM(M13:O13)</f>
        <v>89</v>
      </c>
      <c r="M13" s="8">
        <v>49</v>
      </c>
      <c r="N13" s="8">
        <v>20</v>
      </c>
      <c r="O13" s="8">
        <v>20</v>
      </c>
      <c r="P13" s="9" t="s">
        <v>28</v>
      </c>
      <c r="Q13" s="9" t="s">
        <v>29</v>
      </c>
      <c r="R13" s="8">
        <v>1</v>
      </c>
    </row>
    <row r="14" spans="1:18">
      <c r="A14" s="7"/>
      <c r="B14" s="7"/>
      <c r="C14" s="8"/>
      <c r="D14" s="8"/>
      <c r="E14" s="8"/>
      <c r="F14" s="8"/>
      <c r="G14" s="7"/>
      <c r="H14" s="7"/>
      <c r="I14" s="8">
        <v>2</v>
      </c>
      <c r="J14" s="7"/>
      <c r="K14" s="26" t="s">
        <v>100</v>
      </c>
      <c r="L14" s="8">
        <f t="shared" si="0"/>
        <v>93</v>
      </c>
      <c r="M14" s="8">
        <v>54</v>
      </c>
      <c r="N14" s="8">
        <v>19</v>
      </c>
      <c r="O14" s="8">
        <v>20</v>
      </c>
      <c r="P14" s="9" t="s">
        <v>30</v>
      </c>
      <c r="Q14" s="9" t="s">
        <v>31</v>
      </c>
      <c r="R14" s="8">
        <v>2</v>
      </c>
    </row>
    <row r="15" spans="1:18">
      <c r="A15" s="7"/>
      <c r="B15" s="7"/>
      <c r="C15" s="8"/>
      <c r="D15" s="8"/>
      <c r="E15" s="8"/>
      <c r="F15" s="8"/>
      <c r="G15" s="7"/>
      <c r="H15" s="7"/>
      <c r="I15" s="8">
        <v>3</v>
      </c>
      <c r="J15" s="7"/>
      <c r="K15" s="26" t="s">
        <v>53</v>
      </c>
      <c r="L15" s="8">
        <f t="shared" si="0"/>
        <v>70</v>
      </c>
      <c r="M15" s="8">
        <v>44</v>
      </c>
      <c r="N15" s="8">
        <v>6</v>
      </c>
      <c r="O15" s="8">
        <v>20</v>
      </c>
      <c r="P15" s="9" t="s">
        <v>33</v>
      </c>
      <c r="Q15" s="9" t="s">
        <v>34</v>
      </c>
      <c r="R15" s="8">
        <v>3</v>
      </c>
    </row>
    <row r="16" spans="1:18">
      <c r="A16" s="7"/>
      <c r="B16" s="7"/>
      <c r="C16" s="8"/>
      <c r="D16" s="8"/>
      <c r="E16" s="8"/>
      <c r="F16" s="8"/>
      <c r="G16" s="7"/>
      <c r="H16" s="7"/>
      <c r="I16" s="8">
        <v>4</v>
      </c>
      <c r="J16" s="7"/>
      <c r="K16" s="26" t="s">
        <v>32</v>
      </c>
      <c r="L16" s="8">
        <f t="shared" si="0"/>
        <v>92</v>
      </c>
      <c r="M16" s="8">
        <v>52</v>
      </c>
      <c r="N16" s="8">
        <v>20</v>
      </c>
      <c r="O16" s="8">
        <v>20</v>
      </c>
      <c r="P16" s="9" t="s">
        <v>36</v>
      </c>
      <c r="Q16" s="9" t="s">
        <v>37</v>
      </c>
      <c r="R16" s="8">
        <v>4</v>
      </c>
    </row>
    <row r="17" spans="1:18">
      <c r="A17" s="7"/>
      <c r="B17" s="7"/>
      <c r="C17" s="8"/>
      <c r="D17" s="8"/>
      <c r="E17" s="8"/>
      <c r="F17" s="8"/>
      <c r="G17" s="7"/>
      <c r="H17" s="7"/>
      <c r="I17" s="8">
        <v>5</v>
      </c>
      <c r="J17" s="7"/>
      <c r="K17" s="26" t="s">
        <v>38</v>
      </c>
      <c r="L17" s="8">
        <f t="shared" si="0"/>
        <v>88</v>
      </c>
      <c r="M17" s="8">
        <v>48</v>
      </c>
      <c r="N17" s="8">
        <v>20</v>
      </c>
      <c r="O17" s="8">
        <v>20</v>
      </c>
      <c r="P17" s="9" t="s">
        <v>39</v>
      </c>
      <c r="Q17" s="9" t="s">
        <v>40</v>
      </c>
      <c r="R17" s="8">
        <v>5</v>
      </c>
    </row>
    <row r="18" spans="1:18">
      <c r="A18" s="7"/>
      <c r="B18" s="7"/>
      <c r="C18" s="8"/>
      <c r="D18" s="8"/>
      <c r="E18" s="8"/>
      <c r="F18" s="8"/>
      <c r="G18" s="7"/>
      <c r="H18" s="7"/>
      <c r="I18" s="8">
        <v>6</v>
      </c>
      <c r="J18" s="7"/>
      <c r="K18" s="26" t="s">
        <v>90</v>
      </c>
      <c r="L18" s="8">
        <f t="shared" si="0"/>
        <v>98</v>
      </c>
      <c r="M18" s="8">
        <v>59</v>
      </c>
      <c r="N18" s="8">
        <v>19</v>
      </c>
      <c r="O18" s="8">
        <v>20</v>
      </c>
      <c r="P18" s="9" t="s">
        <v>42</v>
      </c>
      <c r="Q18" s="9" t="s">
        <v>43</v>
      </c>
      <c r="R18" s="8">
        <v>6</v>
      </c>
    </row>
    <row r="19" spans="1:18">
      <c r="A19" s="7"/>
      <c r="B19" s="7"/>
      <c r="C19" s="8"/>
      <c r="D19" s="8"/>
      <c r="E19" s="8"/>
      <c r="F19" s="8"/>
      <c r="G19" s="7"/>
      <c r="H19" s="7"/>
      <c r="I19" s="8">
        <v>7</v>
      </c>
      <c r="J19" s="7"/>
      <c r="K19" s="26" t="s">
        <v>44</v>
      </c>
      <c r="L19" s="8">
        <f t="shared" si="0"/>
        <v>75</v>
      </c>
      <c r="M19" s="8">
        <v>38</v>
      </c>
      <c r="N19" s="8">
        <v>17</v>
      </c>
      <c r="O19" s="8">
        <v>20</v>
      </c>
      <c r="P19" s="9" t="s">
        <v>45</v>
      </c>
      <c r="Q19" s="9" t="s">
        <v>46</v>
      </c>
      <c r="R19" s="8">
        <v>7</v>
      </c>
    </row>
    <row r="20" spans="1:18">
      <c r="A20" s="7"/>
      <c r="B20" s="7"/>
      <c r="C20" s="8"/>
      <c r="D20" s="8"/>
      <c r="E20" s="8"/>
      <c r="F20" s="8"/>
      <c r="G20" s="7"/>
      <c r="H20" s="7"/>
      <c r="I20" s="8">
        <v>8</v>
      </c>
      <c r="J20" s="7"/>
      <c r="K20" s="26" t="s">
        <v>47</v>
      </c>
      <c r="L20" s="8">
        <f t="shared" si="0"/>
        <v>94</v>
      </c>
      <c r="M20" s="8">
        <v>58</v>
      </c>
      <c r="N20" s="8">
        <v>16</v>
      </c>
      <c r="O20" s="8">
        <v>20</v>
      </c>
      <c r="P20" s="9" t="s">
        <v>48</v>
      </c>
      <c r="Q20" s="9" t="s">
        <v>49</v>
      </c>
      <c r="R20" s="8">
        <v>8</v>
      </c>
    </row>
    <row r="21" spans="1:18">
      <c r="A21" s="7"/>
      <c r="B21" s="7"/>
      <c r="C21" s="8"/>
      <c r="D21" s="8"/>
      <c r="E21" s="8"/>
      <c r="F21" s="8"/>
      <c r="G21" s="7"/>
      <c r="H21" s="7"/>
      <c r="I21" s="8">
        <v>9</v>
      </c>
      <c r="J21" s="7"/>
      <c r="K21" s="26" t="s">
        <v>114</v>
      </c>
      <c r="L21" s="8">
        <f t="shared" si="0"/>
        <v>97</v>
      </c>
      <c r="M21" s="8">
        <v>60</v>
      </c>
      <c r="N21" s="8">
        <v>17</v>
      </c>
      <c r="O21" s="8">
        <v>20</v>
      </c>
      <c r="P21" s="9" t="s">
        <v>51</v>
      </c>
      <c r="Q21" s="9" t="s">
        <v>52</v>
      </c>
      <c r="R21" s="8">
        <v>9</v>
      </c>
    </row>
    <row r="22" spans="1:18">
      <c r="A22" s="7"/>
      <c r="B22" s="7"/>
      <c r="C22" s="8"/>
      <c r="D22" s="8"/>
      <c r="E22" s="8"/>
      <c r="F22" s="8"/>
      <c r="G22" s="7"/>
      <c r="H22" s="7"/>
      <c r="I22" s="8">
        <v>10</v>
      </c>
      <c r="J22" s="7"/>
      <c r="K22" s="26" t="s">
        <v>99</v>
      </c>
      <c r="L22" s="8">
        <f t="shared" si="0"/>
        <v>78</v>
      </c>
      <c r="M22" s="8">
        <v>41</v>
      </c>
      <c r="N22" s="8">
        <v>17</v>
      </c>
      <c r="O22" s="8">
        <v>20</v>
      </c>
      <c r="P22" s="9" t="s">
        <v>54</v>
      </c>
      <c r="Q22" s="9" t="s">
        <v>55</v>
      </c>
      <c r="R22" s="8">
        <v>10</v>
      </c>
    </row>
    <row r="23" spans="1:18">
      <c r="A23" s="7"/>
      <c r="B23" s="7"/>
      <c r="C23" s="8"/>
      <c r="D23" s="8"/>
      <c r="E23" s="8"/>
      <c r="F23" s="8"/>
      <c r="G23" s="7"/>
      <c r="H23" s="7"/>
      <c r="I23" s="8">
        <v>11</v>
      </c>
      <c r="J23" s="7"/>
      <c r="K23" s="26" t="s">
        <v>60</v>
      </c>
      <c r="L23" s="8">
        <f t="shared" si="0"/>
        <v>91</v>
      </c>
      <c r="M23" s="8">
        <v>53</v>
      </c>
      <c r="N23" s="8">
        <v>18</v>
      </c>
      <c r="O23" s="8">
        <v>20</v>
      </c>
      <c r="P23" s="9" t="s">
        <v>56</v>
      </c>
      <c r="Q23" s="9" t="s">
        <v>57</v>
      </c>
      <c r="R23" s="8">
        <v>11</v>
      </c>
    </row>
    <row r="24" spans="1:18">
      <c r="A24" s="7"/>
      <c r="B24" s="7"/>
      <c r="C24" s="8"/>
      <c r="D24" s="8"/>
      <c r="E24" s="8"/>
      <c r="F24" s="8"/>
      <c r="G24" s="7"/>
      <c r="H24" s="7"/>
      <c r="I24" s="8">
        <v>12</v>
      </c>
      <c r="J24" s="7"/>
      <c r="K24" s="26" t="s">
        <v>82</v>
      </c>
      <c r="L24" s="8">
        <f t="shared" si="0"/>
        <v>90</v>
      </c>
      <c r="M24" s="8">
        <v>53</v>
      </c>
      <c r="N24" s="8">
        <v>17</v>
      </c>
      <c r="O24" s="8">
        <v>20</v>
      </c>
      <c r="P24" s="9" t="s">
        <v>58</v>
      </c>
      <c r="Q24" s="9" t="s">
        <v>59</v>
      </c>
      <c r="R24" s="8">
        <v>12</v>
      </c>
    </row>
    <row r="25" spans="1:18">
      <c r="A25" s="7"/>
      <c r="B25" s="7"/>
      <c r="C25" s="8"/>
      <c r="D25" s="8"/>
      <c r="E25" s="8"/>
      <c r="F25" s="8"/>
      <c r="G25" s="7"/>
      <c r="H25" s="7"/>
      <c r="I25" s="8">
        <v>13</v>
      </c>
      <c r="J25" s="7"/>
      <c r="K25" s="26" t="s">
        <v>47</v>
      </c>
      <c r="L25" s="8">
        <f t="shared" si="0"/>
        <v>94</v>
      </c>
      <c r="M25" s="8">
        <v>55</v>
      </c>
      <c r="N25" s="8">
        <v>19</v>
      </c>
      <c r="O25" s="8">
        <v>20</v>
      </c>
      <c r="P25" s="9" t="s">
        <v>61</v>
      </c>
      <c r="Q25" s="9" t="s">
        <v>62</v>
      </c>
      <c r="R25" s="8">
        <v>13</v>
      </c>
    </row>
    <row r="26" spans="1:18">
      <c r="A26" s="7"/>
      <c r="B26" s="7"/>
      <c r="C26" s="8"/>
      <c r="D26" s="8"/>
      <c r="E26" s="8"/>
      <c r="F26" s="8"/>
      <c r="G26" s="7"/>
      <c r="H26" s="7"/>
      <c r="I26" s="8">
        <v>14</v>
      </c>
      <c r="J26" s="7"/>
      <c r="K26" s="26" t="s">
        <v>91</v>
      </c>
      <c r="L26" s="8">
        <f t="shared" si="0"/>
        <v>85</v>
      </c>
      <c r="M26" s="8">
        <v>46</v>
      </c>
      <c r="N26" s="8">
        <v>19</v>
      </c>
      <c r="O26" s="8">
        <v>20</v>
      </c>
      <c r="P26" s="9" t="s">
        <v>64</v>
      </c>
      <c r="Q26" s="9" t="s">
        <v>65</v>
      </c>
      <c r="R26" s="8">
        <v>14</v>
      </c>
    </row>
    <row r="27" spans="1:18">
      <c r="A27" s="7"/>
      <c r="B27" s="7"/>
      <c r="C27" s="8"/>
      <c r="D27" s="8"/>
      <c r="E27" s="8"/>
      <c r="F27" s="8"/>
      <c r="G27" s="7"/>
      <c r="H27" s="7"/>
      <c r="I27" s="8">
        <v>15</v>
      </c>
      <c r="J27" s="7"/>
      <c r="K27" s="26" t="s">
        <v>100</v>
      </c>
      <c r="L27" s="8">
        <f t="shared" si="0"/>
        <v>93</v>
      </c>
      <c r="M27" s="8">
        <v>54</v>
      </c>
      <c r="N27" s="8">
        <v>19</v>
      </c>
      <c r="O27" s="8">
        <v>20</v>
      </c>
      <c r="P27" s="9" t="s">
        <v>54</v>
      </c>
      <c r="Q27" s="9" t="s">
        <v>67</v>
      </c>
      <c r="R27" s="8">
        <v>15</v>
      </c>
    </row>
    <row r="28" spans="1:18">
      <c r="A28" s="7"/>
      <c r="B28" s="7"/>
      <c r="C28" s="8"/>
      <c r="D28" s="8"/>
      <c r="E28" s="8"/>
      <c r="F28" s="8"/>
      <c r="G28" s="7"/>
      <c r="H28" s="7"/>
      <c r="I28" s="8">
        <v>16</v>
      </c>
      <c r="J28" s="7"/>
      <c r="K28" s="26" t="s">
        <v>91</v>
      </c>
      <c r="L28" s="8">
        <f t="shared" si="0"/>
        <v>85</v>
      </c>
      <c r="M28" s="8">
        <v>60</v>
      </c>
      <c r="N28" s="8">
        <v>5</v>
      </c>
      <c r="O28" s="8">
        <v>20</v>
      </c>
      <c r="P28" s="9" t="s">
        <v>68</v>
      </c>
      <c r="Q28" s="9" t="s">
        <v>69</v>
      </c>
      <c r="R28" s="8">
        <v>16</v>
      </c>
    </row>
    <row r="29" spans="1:18">
      <c r="A29" s="7"/>
      <c r="B29" s="7"/>
      <c r="C29" s="8"/>
      <c r="D29" s="8"/>
      <c r="E29" s="8"/>
      <c r="F29" s="8"/>
      <c r="G29" s="7"/>
      <c r="H29" s="7"/>
      <c r="I29" s="8">
        <v>17</v>
      </c>
      <c r="J29" s="7"/>
      <c r="K29" s="26" t="s">
        <v>99</v>
      </c>
      <c r="L29" s="8">
        <f t="shared" si="0"/>
        <v>78</v>
      </c>
      <c r="M29" s="8">
        <v>38</v>
      </c>
      <c r="N29" s="8">
        <v>20</v>
      </c>
      <c r="O29" s="8">
        <v>20</v>
      </c>
      <c r="P29" s="9" t="s">
        <v>70</v>
      </c>
      <c r="Q29" s="9" t="s">
        <v>71</v>
      </c>
      <c r="R29" s="8">
        <v>17</v>
      </c>
    </row>
    <row r="30" spans="1:18">
      <c r="A30" s="7"/>
      <c r="B30" s="7"/>
      <c r="C30" s="8"/>
      <c r="D30" s="8"/>
      <c r="E30" s="8"/>
      <c r="F30" s="8"/>
      <c r="G30" s="7"/>
      <c r="H30" s="7"/>
      <c r="I30" s="8">
        <v>18</v>
      </c>
      <c r="J30" s="7"/>
      <c r="K30" s="26" t="s">
        <v>79</v>
      </c>
      <c r="L30" s="8">
        <f t="shared" si="0"/>
        <v>76</v>
      </c>
      <c r="M30" s="8">
        <v>46</v>
      </c>
      <c r="N30" s="8">
        <v>10</v>
      </c>
      <c r="O30" s="8">
        <v>20</v>
      </c>
      <c r="P30" s="9" t="s">
        <v>72</v>
      </c>
      <c r="Q30" s="9" t="s">
        <v>73</v>
      </c>
      <c r="R30" s="8">
        <v>18</v>
      </c>
    </row>
    <row r="31" spans="1:18">
      <c r="A31" s="7"/>
      <c r="B31" s="7"/>
      <c r="C31" s="8"/>
      <c r="D31" s="8"/>
      <c r="E31" s="8"/>
      <c r="F31" s="8"/>
      <c r="G31" s="7"/>
      <c r="H31" s="7"/>
      <c r="I31" s="8">
        <v>66</v>
      </c>
      <c r="J31" s="7"/>
      <c r="K31" s="7"/>
      <c r="L31" s="8"/>
      <c r="M31" s="8"/>
      <c r="N31" s="8"/>
      <c r="O31" s="8"/>
      <c r="P31" s="9"/>
      <c r="Q31" s="9"/>
      <c r="R31" s="8">
        <v>19</v>
      </c>
    </row>
    <row r="32" spans="1:18">
      <c r="A32" s="7"/>
      <c r="B32" s="7"/>
      <c r="C32" s="8"/>
      <c r="D32" s="8"/>
      <c r="E32" s="8"/>
      <c r="F32" s="8"/>
      <c r="G32" s="7"/>
      <c r="H32" s="7"/>
      <c r="I32" s="8">
        <v>67</v>
      </c>
      <c r="J32" s="7"/>
      <c r="K32" s="7"/>
      <c r="L32" s="8"/>
      <c r="M32" s="8"/>
      <c r="N32" s="8"/>
      <c r="O32" s="8"/>
      <c r="P32" s="9"/>
      <c r="Q32" s="9"/>
      <c r="R32" s="8">
        <v>20</v>
      </c>
    </row>
    <row r="33" spans="1:18" ht="18.5">
      <c r="A33" s="7"/>
      <c r="B33" s="7"/>
      <c r="C33" s="8"/>
      <c r="D33" s="8"/>
      <c r="E33" s="8"/>
      <c r="F33" s="8"/>
      <c r="G33" s="7"/>
      <c r="H33" s="7"/>
      <c r="I33" s="8">
        <v>68</v>
      </c>
      <c r="J33" s="7"/>
      <c r="K33" s="7"/>
      <c r="L33" s="8"/>
      <c r="M33" s="8"/>
      <c r="N33" s="8"/>
      <c r="O33" s="8"/>
      <c r="P33" s="10"/>
      <c r="Q33" s="10"/>
      <c r="R33" s="8">
        <v>21</v>
      </c>
    </row>
    <row r="34" spans="1:18" ht="18.5">
      <c r="A34" s="7"/>
      <c r="B34" s="7"/>
      <c r="C34" s="8"/>
      <c r="D34" s="8"/>
      <c r="E34" s="8"/>
      <c r="F34" s="8"/>
      <c r="G34" s="7"/>
      <c r="H34" s="7"/>
      <c r="I34" s="8">
        <v>69</v>
      </c>
      <c r="J34" s="7"/>
      <c r="K34" s="7"/>
      <c r="L34" s="8"/>
      <c r="M34" s="8"/>
      <c r="N34" s="8"/>
      <c r="O34" s="8"/>
      <c r="P34" s="10"/>
      <c r="Q34" s="10"/>
      <c r="R34" s="8">
        <v>27</v>
      </c>
    </row>
    <row r="35" spans="1:18" ht="18.5">
      <c r="A35" s="7"/>
      <c r="B35" s="7"/>
      <c r="C35" s="8"/>
      <c r="D35" s="8"/>
      <c r="E35" s="8"/>
      <c r="F35" s="8"/>
      <c r="G35" s="7"/>
      <c r="H35" s="7"/>
      <c r="I35" s="8">
        <v>70</v>
      </c>
      <c r="J35" s="7"/>
      <c r="K35" s="7"/>
      <c r="L35" s="8"/>
      <c r="M35" s="8"/>
      <c r="N35" s="8"/>
      <c r="O35" s="8"/>
      <c r="P35" s="10"/>
      <c r="Q35" s="10"/>
      <c r="R35" s="8">
        <v>28</v>
      </c>
    </row>
    <row r="36" spans="1:18" ht="18.5">
      <c r="A36" s="7"/>
      <c r="B36" s="7"/>
      <c r="C36" s="8"/>
      <c r="D36" s="8"/>
      <c r="E36" s="8"/>
      <c r="F36" s="8"/>
      <c r="G36" s="7"/>
      <c r="H36" s="7"/>
      <c r="I36" s="8">
        <v>71</v>
      </c>
      <c r="J36" s="7"/>
      <c r="K36" s="7"/>
      <c r="L36" s="8"/>
      <c r="M36" s="8"/>
      <c r="N36" s="8"/>
      <c r="O36" s="8"/>
      <c r="P36" s="10"/>
      <c r="Q36" s="10"/>
      <c r="R36" s="8">
        <v>29</v>
      </c>
    </row>
    <row r="37" spans="1:18">
      <c r="A37" s="7"/>
      <c r="B37" s="7"/>
      <c r="C37" s="8"/>
      <c r="D37" s="8"/>
      <c r="E37" s="8"/>
      <c r="F37" s="8"/>
      <c r="G37" s="7"/>
      <c r="H37" s="7"/>
      <c r="I37" s="8">
        <v>72</v>
      </c>
      <c r="J37" s="7"/>
      <c r="K37" s="7"/>
      <c r="L37" s="8"/>
      <c r="M37" s="8"/>
      <c r="N37" s="8"/>
      <c r="O37" s="8"/>
      <c r="P37" s="9"/>
      <c r="Q37" s="9"/>
      <c r="R37" s="8">
        <v>30</v>
      </c>
    </row>
    <row r="38" spans="1:18">
      <c r="A38" s="7"/>
      <c r="B38" s="7"/>
      <c r="C38" s="8"/>
      <c r="D38" s="8"/>
      <c r="E38" s="8"/>
      <c r="F38" s="8"/>
      <c r="G38" s="7"/>
      <c r="H38" s="7"/>
      <c r="I38" s="8">
        <v>73</v>
      </c>
      <c r="J38" s="7"/>
      <c r="K38" s="7"/>
      <c r="L38" s="8"/>
      <c r="M38" s="8"/>
      <c r="N38" s="8"/>
      <c r="O38" s="8"/>
      <c r="P38" s="9"/>
      <c r="Q38" s="9"/>
      <c r="R38" s="8">
        <v>31</v>
      </c>
    </row>
    <row r="39" spans="1:18">
      <c r="A39" s="7"/>
      <c r="B39" s="7"/>
      <c r="C39" s="8"/>
      <c r="D39" s="8"/>
      <c r="E39" s="8"/>
      <c r="F39" s="8"/>
      <c r="G39" s="7"/>
      <c r="H39" s="7"/>
      <c r="I39" s="8">
        <v>74</v>
      </c>
      <c r="J39" s="7"/>
      <c r="K39" s="7"/>
      <c r="L39" s="8"/>
      <c r="M39" s="8"/>
      <c r="N39" s="8"/>
      <c r="O39" s="8"/>
      <c r="P39" s="9"/>
      <c r="Q39" s="9"/>
      <c r="R39" s="8">
        <v>32</v>
      </c>
    </row>
    <row r="40" spans="1:18">
      <c r="A40" s="7"/>
      <c r="B40" s="7"/>
      <c r="C40" s="8"/>
      <c r="D40" s="8"/>
      <c r="E40" s="8"/>
      <c r="F40" s="8"/>
      <c r="G40" s="7"/>
      <c r="H40" s="7"/>
      <c r="I40" s="8">
        <v>75</v>
      </c>
      <c r="J40" s="7"/>
      <c r="K40" s="7"/>
      <c r="L40" s="8"/>
      <c r="M40" s="8"/>
      <c r="N40" s="8"/>
      <c r="O40" s="8"/>
      <c r="P40" s="9"/>
      <c r="Q40" s="9"/>
      <c r="R40" s="8">
        <v>33</v>
      </c>
    </row>
    <row r="41" spans="1:18">
      <c r="A41" s="7"/>
      <c r="B41" s="7"/>
      <c r="C41" s="8"/>
      <c r="D41" s="8"/>
      <c r="E41" s="8"/>
      <c r="F41" s="8"/>
      <c r="G41" s="7"/>
      <c r="H41" s="7"/>
      <c r="I41" s="8">
        <v>76</v>
      </c>
      <c r="J41" s="7"/>
      <c r="K41" s="7"/>
      <c r="L41" s="8"/>
      <c r="M41" s="8"/>
      <c r="N41" s="8"/>
      <c r="O41" s="8"/>
      <c r="P41" s="9"/>
      <c r="Q41" s="9"/>
      <c r="R41" s="8">
        <v>34</v>
      </c>
    </row>
    <row r="42" spans="1:18">
      <c r="A42" s="44" t="s">
        <v>74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</row>
    <row r="43" spans="1:18">
      <c r="E43" s="11" t="s">
        <v>75</v>
      </c>
      <c r="M43" s="11" t="s">
        <v>76</v>
      </c>
    </row>
  </sheetData>
  <mergeCells count="30">
    <mergeCell ref="A1:R1"/>
    <mergeCell ref="A2:R2"/>
    <mergeCell ref="A3:R3"/>
    <mergeCell ref="A4:R4"/>
    <mergeCell ref="A5:R5"/>
    <mergeCell ref="A6:R6"/>
    <mergeCell ref="B7:D7"/>
    <mergeCell ref="G7:I7"/>
    <mergeCell ref="L7:O7"/>
    <mergeCell ref="A9:D9"/>
    <mergeCell ref="E9:F9"/>
    <mergeCell ref="H9:J9"/>
    <mergeCell ref="L9:O9"/>
    <mergeCell ref="P9:Q9"/>
    <mergeCell ref="A42:R42"/>
    <mergeCell ref="A10:R10"/>
    <mergeCell ref="A11:A12"/>
    <mergeCell ref="B11:C11"/>
    <mergeCell ref="D11:D12"/>
    <mergeCell ref="E11:E12"/>
    <mergeCell ref="F11:F12"/>
    <mergeCell ref="G11:H11"/>
    <mergeCell ref="I11:I12"/>
    <mergeCell ref="J11:J12"/>
    <mergeCell ref="K11:L11"/>
    <mergeCell ref="M11:M12"/>
    <mergeCell ref="N11:N12"/>
    <mergeCell ref="O11:O12"/>
    <mergeCell ref="P11:Q11"/>
    <mergeCell ref="R11:R12"/>
  </mergeCells>
  <pageMargins left="0.27083333333333298" right="0.44791666666666702" top="0.15625" bottom="0.114583333333333" header="0.511811023622047" footer="0.511811023622047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3"/>
  <sheetViews>
    <sheetView zoomScaleNormal="100" workbookViewId="0">
      <selection activeCell="O17" sqref="O17"/>
    </sheetView>
  </sheetViews>
  <sheetFormatPr defaultColWidth="9.1796875" defaultRowHeight="14.5"/>
  <cols>
    <col min="1" max="1" width="3.7265625" customWidth="1"/>
    <col min="2" max="3" width="4.7265625" customWidth="1"/>
    <col min="4" max="6" width="4" customWidth="1"/>
    <col min="7" max="8" width="9.7265625" customWidth="1"/>
    <col min="9" max="9" width="3.54296875" style="1" customWidth="1"/>
    <col min="10" max="10" width="3.7265625" customWidth="1"/>
    <col min="11" max="12" width="4.7265625" customWidth="1"/>
    <col min="13" max="15" width="4.1796875" customWidth="1"/>
    <col min="16" max="17" width="10.7265625" customWidth="1"/>
    <col min="18" max="18" width="3.7265625" style="1" customWidth="1"/>
  </cols>
  <sheetData>
    <row r="1" spans="1:18" ht="14.25" customHeight="1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</row>
    <row r="2" spans="1:18" ht="14.25" customHeight="1">
      <c r="A2" s="29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</row>
    <row r="3" spans="1:18" ht="14.25" customHeight="1">
      <c r="A3" s="29" t="s">
        <v>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</row>
    <row r="4" spans="1:18" ht="14.25" customHeight="1">
      <c r="A4" s="29" t="s">
        <v>3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</row>
    <row r="5" spans="1:18" ht="14.25" customHeight="1">
      <c r="A5" s="29" t="s">
        <v>4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</row>
    <row r="6" spans="1:18" ht="14.25" customHeight="1">
      <c r="A6" s="36" t="s">
        <v>5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</row>
    <row r="7" spans="1:18" ht="15.75" customHeight="1">
      <c r="B7" s="37" t="s">
        <v>6</v>
      </c>
      <c r="C7" s="37"/>
      <c r="D7" s="37"/>
      <c r="G7" s="38" t="s">
        <v>7</v>
      </c>
      <c r="H7" s="38"/>
      <c r="I7" s="38"/>
      <c r="J7" s="2"/>
      <c r="K7" s="1"/>
      <c r="L7" s="39" t="s">
        <v>8</v>
      </c>
      <c r="M7" s="39"/>
      <c r="N7" s="39"/>
      <c r="O7" s="39"/>
      <c r="P7" s="3" t="s">
        <v>9</v>
      </c>
      <c r="Q7" s="4" t="s">
        <v>10</v>
      </c>
    </row>
    <row r="8" spans="1:18" ht="6.75" customHeight="1"/>
    <row r="9" spans="1:18">
      <c r="A9" s="40" t="s">
        <v>115</v>
      </c>
      <c r="B9" s="40"/>
      <c r="C9" s="40"/>
      <c r="D9" s="40"/>
      <c r="E9" s="41" t="s">
        <v>12</v>
      </c>
      <c r="F9" s="41"/>
      <c r="H9" s="41" t="s">
        <v>13</v>
      </c>
      <c r="I9" s="41"/>
      <c r="J9" s="41"/>
      <c r="L9" s="42" t="s">
        <v>116</v>
      </c>
      <c r="M9" s="42"/>
      <c r="N9" s="42"/>
      <c r="O9" s="42"/>
      <c r="P9" s="43" t="s">
        <v>117</v>
      </c>
      <c r="Q9" s="43"/>
    </row>
    <row r="10" spans="1:18" ht="7.5" customHeight="1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</row>
    <row r="11" spans="1:18" ht="19.5" customHeight="1">
      <c r="A11" s="30" t="s">
        <v>16</v>
      </c>
      <c r="B11" s="31" t="s">
        <v>17</v>
      </c>
      <c r="C11" s="31"/>
      <c r="D11" s="32" t="s">
        <v>18</v>
      </c>
      <c r="E11" s="32" t="s">
        <v>19</v>
      </c>
      <c r="F11" s="30" t="s">
        <v>20</v>
      </c>
      <c r="G11" s="33" t="s">
        <v>21</v>
      </c>
      <c r="H11" s="33"/>
      <c r="I11" s="34" t="s">
        <v>22</v>
      </c>
      <c r="J11" s="30" t="s">
        <v>16</v>
      </c>
      <c r="K11" s="35" t="s">
        <v>17</v>
      </c>
      <c r="L11" s="35"/>
      <c r="M11" s="32" t="s">
        <v>18</v>
      </c>
      <c r="N11" s="32" t="s">
        <v>19</v>
      </c>
      <c r="O11" s="30" t="s">
        <v>20</v>
      </c>
      <c r="P11" s="33" t="s">
        <v>21</v>
      </c>
      <c r="Q11" s="33"/>
      <c r="R11" s="34" t="s">
        <v>22</v>
      </c>
    </row>
    <row r="12" spans="1:18" ht="25.5" customHeight="1">
      <c r="A12" s="30"/>
      <c r="B12" s="6" t="s">
        <v>23</v>
      </c>
      <c r="C12" s="6" t="s">
        <v>24</v>
      </c>
      <c r="D12" s="32"/>
      <c r="E12" s="32"/>
      <c r="F12" s="32"/>
      <c r="G12" s="5" t="s">
        <v>25</v>
      </c>
      <c r="H12" s="5" t="s">
        <v>26</v>
      </c>
      <c r="I12" s="34"/>
      <c r="J12" s="34"/>
      <c r="K12" s="6" t="s">
        <v>23</v>
      </c>
      <c r="L12" s="6" t="s">
        <v>24</v>
      </c>
      <c r="M12" s="32"/>
      <c r="N12" s="32"/>
      <c r="O12" s="32"/>
      <c r="P12" s="5" t="s">
        <v>25</v>
      </c>
      <c r="Q12" s="5" t="s">
        <v>26</v>
      </c>
      <c r="R12" s="34"/>
    </row>
    <row r="13" spans="1:18">
      <c r="A13" s="7"/>
      <c r="B13" s="7"/>
      <c r="C13" s="8"/>
      <c r="D13" s="8"/>
      <c r="E13" s="8"/>
      <c r="F13" s="8"/>
      <c r="G13" s="7"/>
      <c r="H13" s="7"/>
      <c r="I13" s="8">
        <v>1</v>
      </c>
      <c r="J13" s="7"/>
      <c r="K13" s="26" t="s">
        <v>85</v>
      </c>
      <c r="L13" s="8">
        <f t="shared" ref="L13:L30" si="0">SUM(M13:O13)</f>
        <v>74</v>
      </c>
      <c r="M13" s="8">
        <v>40</v>
      </c>
      <c r="N13" s="8">
        <v>14</v>
      </c>
      <c r="O13" s="8">
        <v>20</v>
      </c>
      <c r="P13" s="9" t="s">
        <v>28</v>
      </c>
      <c r="Q13" s="9" t="s">
        <v>29</v>
      </c>
      <c r="R13" s="8">
        <v>1</v>
      </c>
    </row>
    <row r="14" spans="1:18">
      <c r="A14" s="7"/>
      <c r="B14" s="7"/>
      <c r="C14" s="8"/>
      <c r="D14" s="8"/>
      <c r="E14" s="8"/>
      <c r="F14" s="8"/>
      <c r="G14" s="7"/>
      <c r="H14" s="7"/>
      <c r="I14" s="8">
        <v>2</v>
      </c>
      <c r="J14" s="7"/>
      <c r="K14" s="26" t="s">
        <v>50</v>
      </c>
      <c r="L14" s="8">
        <f t="shared" si="0"/>
        <v>86</v>
      </c>
      <c r="M14" s="8">
        <v>53</v>
      </c>
      <c r="N14" s="8">
        <v>13</v>
      </c>
      <c r="O14" s="8">
        <v>20</v>
      </c>
      <c r="P14" s="9" t="s">
        <v>30</v>
      </c>
      <c r="Q14" s="9" t="s">
        <v>31</v>
      </c>
      <c r="R14" s="8">
        <v>2</v>
      </c>
    </row>
    <row r="15" spans="1:18">
      <c r="A15" s="7"/>
      <c r="B15" s="7"/>
      <c r="C15" s="8"/>
      <c r="D15" s="8"/>
      <c r="E15" s="8"/>
      <c r="F15" s="8"/>
      <c r="G15" s="7"/>
      <c r="H15" s="7"/>
      <c r="I15" s="8">
        <v>3</v>
      </c>
      <c r="J15" s="7"/>
      <c r="K15" s="26" t="s">
        <v>82</v>
      </c>
      <c r="L15" s="8">
        <f t="shared" si="0"/>
        <v>90</v>
      </c>
      <c r="M15" s="8">
        <v>54</v>
      </c>
      <c r="N15" s="8">
        <v>16</v>
      </c>
      <c r="O15" s="8">
        <v>20</v>
      </c>
      <c r="P15" s="9" t="s">
        <v>33</v>
      </c>
      <c r="Q15" s="9" t="s">
        <v>34</v>
      </c>
      <c r="R15" s="8">
        <v>3</v>
      </c>
    </row>
    <row r="16" spans="1:18">
      <c r="A16" s="7"/>
      <c r="B16" s="7"/>
      <c r="C16" s="8"/>
      <c r="D16" s="8"/>
      <c r="E16" s="8"/>
      <c r="F16" s="8"/>
      <c r="G16" s="7"/>
      <c r="H16" s="7"/>
      <c r="I16" s="8">
        <v>4</v>
      </c>
      <c r="J16" s="7"/>
      <c r="K16" s="26" t="s">
        <v>38</v>
      </c>
      <c r="L16" s="8">
        <f t="shared" si="0"/>
        <v>88</v>
      </c>
      <c r="M16" s="8">
        <v>52</v>
      </c>
      <c r="N16" s="8">
        <v>16</v>
      </c>
      <c r="O16" s="8">
        <v>20</v>
      </c>
      <c r="P16" s="9" t="s">
        <v>36</v>
      </c>
      <c r="Q16" s="9" t="s">
        <v>37</v>
      </c>
      <c r="R16" s="8">
        <v>4</v>
      </c>
    </row>
    <row r="17" spans="1:18">
      <c r="A17" s="7"/>
      <c r="B17" s="7"/>
      <c r="C17" s="8"/>
      <c r="D17" s="8"/>
      <c r="E17" s="8"/>
      <c r="F17" s="8"/>
      <c r="G17" s="7"/>
      <c r="H17" s="7"/>
      <c r="I17" s="8">
        <v>5</v>
      </c>
      <c r="J17" s="7"/>
      <c r="K17" s="26" t="s">
        <v>38</v>
      </c>
      <c r="L17" s="8">
        <f t="shared" si="0"/>
        <v>88</v>
      </c>
      <c r="M17" s="8">
        <v>59</v>
      </c>
      <c r="N17" s="8">
        <v>9</v>
      </c>
      <c r="O17" s="8">
        <v>20</v>
      </c>
      <c r="P17" s="9" t="s">
        <v>39</v>
      </c>
      <c r="Q17" s="9" t="s">
        <v>40</v>
      </c>
      <c r="R17" s="8">
        <v>5</v>
      </c>
    </row>
    <row r="18" spans="1:18">
      <c r="A18" s="7"/>
      <c r="B18" s="7"/>
      <c r="C18" s="8"/>
      <c r="D18" s="8"/>
      <c r="E18" s="8"/>
      <c r="F18" s="8"/>
      <c r="G18" s="7"/>
      <c r="H18" s="7"/>
      <c r="I18" s="8">
        <v>6</v>
      </c>
      <c r="J18" s="7"/>
      <c r="K18" s="26" t="s">
        <v>111</v>
      </c>
      <c r="L18" s="8">
        <f t="shared" si="0"/>
        <v>71</v>
      </c>
      <c r="M18" s="8">
        <v>31</v>
      </c>
      <c r="N18" s="8">
        <v>20</v>
      </c>
      <c r="O18" s="8">
        <v>20</v>
      </c>
      <c r="P18" s="9" t="s">
        <v>42</v>
      </c>
      <c r="Q18" s="9" t="s">
        <v>43</v>
      </c>
      <c r="R18" s="8">
        <v>6</v>
      </c>
    </row>
    <row r="19" spans="1:18">
      <c r="A19" s="7"/>
      <c r="B19" s="7"/>
      <c r="C19" s="8"/>
      <c r="D19" s="8"/>
      <c r="E19" s="8"/>
      <c r="F19" s="8"/>
      <c r="G19" s="7"/>
      <c r="H19" s="7"/>
      <c r="I19" s="8">
        <v>7</v>
      </c>
      <c r="J19" s="7"/>
      <c r="K19" s="26" t="s">
        <v>66</v>
      </c>
      <c r="L19" s="8">
        <f t="shared" si="0"/>
        <v>73</v>
      </c>
      <c r="M19" s="8">
        <v>48</v>
      </c>
      <c r="N19" s="8">
        <v>5</v>
      </c>
      <c r="O19" s="8">
        <v>20</v>
      </c>
      <c r="P19" s="9" t="s">
        <v>45</v>
      </c>
      <c r="Q19" s="9" t="s">
        <v>46</v>
      </c>
      <c r="R19" s="8">
        <v>7</v>
      </c>
    </row>
    <row r="20" spans="1:18">
      <c r="A20" s="7"/>
      <c r="B20" s="7"/>
      <c r="C20" s="8"/>
      <c r="D20" s="8"/>
      <c r="E20" s="8"/>
      <c r="F20" s="8"/>
      <c r="G20" s="7"/>
      <c r="H20" s="7"/>
      <c r="I20" s="8">
        <v>8</v>
      </c>
      <c r="J20" s="7"/>
      <c r="K20" s="26" t="s">
        <v>97</v>
      </c>
      <c r="L20" s="8">
        <f t="shared" si="0"/>
        <v>89</v>
      </c>
      <c r="M20" s="8">
        <v>49</v>
      </c>
      <c r="N20" s="8">
        <v>20</v>
      </c>
      <c r="O20" s="8">
        <v>20</v>
      </c>
      <c r="P20" s="9" t="s">
        <v>48</v>
      </c>
      <c r="Q20" s="9" t="s">
        <v>49</v>
      </c>
      <c r="R20" s="8">
        <v>8</v>
      </c>
    </row>
    <row r="21" spans="1:18">
      <c r="A21" s="7"/>
      <c r="B21" s="7"/>
      <c r="C21" s="8"/>
      <c r="D21" s="8"/>
      <c r="E21" s="8"/>
      <c r="F21" s="8"/>
      <c r="G21" s="7"/>
      <c r="H21" s="7"/>
      <c r="I21" s="8">
        <v>9</v>
      </c>
      <c r="J21" s="7"/>
      <c r="K21" s="26" t="s">
        <v>83</v>
      </c>
      <c r="L21" s="8">
        <f t="shared" si="0"/>
        <v>77</v>
      </c>
      <c r="M21" s="8">
        <v>50</v>
      </c>
      <c r="N21" s="8">
        <v>7</v>
      </c>
      <c r="O21" s="8">
        <v>20</v>
      </c>
      <c r="P21" s="9" t="s">
        <v>51</v>
      </c>
      <c r="Q21" s="9" t="s">
        <v>52</v>
      </c>
      <c r="R21" s="8">
        <v>9</v>
      </c>
    </row>
    <row r="22" spans="1:18">
      <c r="A22" s="7"/>
      <c r="B22" s="7"/>
      <c r="C22" s="8"/>
      <c r="D22" s="8"/>
      <c r="E22" s="8"/>
      <c r="F22" s="8"/>
      <c r="G22" s="7"/>
      <c r="H22" s="7"/>
      <c r="I22" s="8">
        <v>10</v>
      </c>
      <c r="J22" s="7"/>
      <c r="K22" s="26" t="s">
        <v>41</v>
      </c>
      <c r="L22" s="8">
        <f t="shared" si="0"/>
        <v>87</v>
      </c>
      <c r="M22" s="8">
        <v>55</v>
      </c>
      <c r="N22" s="8">
        <v>12</v>
      </c>
      <c r="O22" s="8">
        <v>20</v>
      </c>
      <c r="P22" s="9" t="s">
        <v>54</v>
      </c>
      <c r="Q22" s="9" t="s">
        <v>55</v>
      </c>
      <c r="R22" s="8">
        <v>10</v>
      </c>
    </row>
    <row r="23" spans="1:18">
      <c r="A23" s="7"/>
      <c r="B23" s="7"/>
      <c r="C23" s="8"/>
      <c r="D23" s="8"/>
      <c r="E23" s="8"/>
      <c r="F23" s="8"/>
      <c r="G23" s="7"/>
      <c r="H23" s="7"/>
      <c r="I23" s="8">
        <v>11</v>
      </c>
      <c r="J23" s="7"/>
      <c r="K23" s="26" t="s">
        <v>118</v>
      </c>
      <c r="L23" s="8">
        <f t="shared" si="0"/>
        <v>72</v>
      </c>
      <c r="M23" s="8">
        <v>33</v>
      </c>
      <c r="N23" s="8">
        <v>19</v>
      </c>
      <c r="O23" s="8">
        <v>20</v>
      </c>
      <c r="P23" s="9" t="s">
        <v>56</v>
      </c>
      <c r="Q23" s="9" t="s">
        <v>57</v>
      </c>
      <c r="R23" s="8">
        <v>11</v>
      </c>
    </row>
    <row r="24" spans="1:18">
      <c r="A24" s="7"/>
      <c r="B24" s="7"/>
      <c r="C24" s="8"/>
      <c r="D24" s="8"/>
      <c r="E24" s="8"/>
      <c r="F24" s="8"/>
      <c r="G24" s="7"/>
      <c r="H24" s="7"/>
      <c r="I24" s="8">
        <v>12</v>
      </c>
      <c r="J24" s="7"/>
      <c r="K24" s="26" t="s">
        <v>47</v>
      </c>
      <c r="L24" s="8">
        <f t="shared" si="0"/>
        <v>94</v>
      </c>
      <c r="M24" s="8">
        <v>60</v>
      </c>
      <c r="N24" s="8">
        <v>14</v>
      </c>
      <c r="O24" s="8">
        <v>20</v>
      </c>
      <c r="P24" s="9" t="s">
        <v>58</v>
      </c>
      <c r="Q24" s="9" t="s">
        <v>59</v>
      </c>
      <c r="R24" s="8">
        <v>12</v>
      </c>
    </row>
    <row r="25" spans="1:18">
      <c r="A25" s="7"/>
      <c r="B25" s="7"/>
      <c r="C25" s="8"/>
      <c r="D25" s="8"/>
      <c r="E25" s="8"/>
      <c r="F25" s="8"/>
      <c r="G25" s="7"/>
      <c r="H25" s="7"/>
      <c r="I25" s="8">
        <v>13</v>
      </c>
      <c r="J25" s="7"/>
      <c r="K25" s="26" t="s">
        <v>90</v>
      </c>
      <c r="L25" s="8">
        <f t="shared" si="0"/>
        <v>98</v>
      </c>
      <c r="M25" s="8">
        <v>58</v>
      </c>
      <c r="N25" s="8">
        <v>20</v>
      </c>
      <c r="O25" s="8">
        <v>20</v>
      </c>
      <c r="P25" s="9" t="s">
        <v>61</v>
      </c>
      <c r="Q25" s="9" t="s">
        <v>62</v>
      </c>
      <c r="R25" s="8">
        <v>13</v>
      </c>
    </row>
    <row r="26" spans="1:18">
      <c r="A26" s="7"/>
      <c r="B26" s="7"/>
      <c r="C26" s="8"/>
      <c r="D26" s="8"/>
      <c r="E26" s="8"/>
      <c r="F26" s="8"/>
      <c r="G26" s="7"/>
      <c r="H26" s="7"/>
      <c r="I26" s="8">
        <v>14</v>
      </c>
      <c r="J26" s="7"/>
      <c r="K26" s="26" t="s">
        <v>50</v>
      </c>
      <c r="L26" s="8">
        <f t="shared" si="0"/>
        <v>86</v>
      </c>
      <c r="M26" s="8">
        <v>60</v>
      </c>
      <c r="N26" s="8">
        <v>6</v>
      </c>
      <c r="O26" s="8">
        <v>20</v>
      </c>
      <c r="P26" s="9" t="s">
        <v>64</v>
      </c>
      <c r="Q26" s="9" t="s">
        <v>65</v>
      </c>
      <c r="R26" s="8">
        <v>14</v>
      </c>
    </row>
    <row r="27" spans="1:18">
      <c r="A27" s="7"/>
      <c r="B27" s="7"/>
      <c r="C27" s="8"/>
      <c r="D27" s="8"/>
      <c r="E27" s="8"/>
      <c r="F27" s="8"/>
      <c r="G27" s="7"/>
      <c r="H27" s="7"/>
      <c r="I27" s="8">
        <v>15</v>
      </c>
      <c r="J27" s="7"/>
      <c r="K27" s="26" t="s">
        <v>81</v>
      </c>
      <c r="L27" s="8">
        <f t="shared" si="0"/>
        <v>100</v>
      </c>
      <c r="M27" s="8">
        <v>60</v>
      </c>
      <c r="N27" s="8">
        <v>20</v>
      </c>
      <c r="O27" s="8">
        <v>20</v>
      </c>
      <c r="P27" s="9" t="s">
        <v>54</v>
      </c>
      <c r="Q27" s="9" t="s">
        <v>67</v>
      </c>
      <c r="R27" s="8">
        <v>15</v>
      </c>
    </row>
    <row r="28" spans="1:18">
      <c r="A28" s="7"/>
      <c r="B28" s="7"/>
      <c r="C28" s="8"/>
      <c r="D28" s="8"/>
      <c r="E28" s="8"/>
      <c r="F28" s="8"/>
      <c r="G28" s="7"/>
      <c r="H28" s="7"/>
      <c r="I28" s="8">
        <v>16</v>
      </c>
      <c r="J28" s="7"/>
      <c r="K28" s="26" t="s">
        <v>119</v>
      </c>
      <c r="L28" s="8">
        <f t="shared" si="0"/>
        <v>64</v>
      </c>
      <c r="M28" s="8">
        <v>28</v>
      </c>
      <c r="N28" s="8">
        <v>16</v>
      </c>
      <c r="O28" s="8">
        <v>20</v>
      </c>
      <c r="P28" s="9" t="s">
        <v>68</v>
      </c>
      <c r="Q28" s="9" t="s">
        <v>69</v>
      </c>
      <c r="R28" s="8">
        <v>16</v>
      </c>
    </row>
    <row r="29" spans="1:18">
      <c r="A29" s="7"/>
      <c r="B29" s="7"/>
      <c r="C29" s="8"/>
      <c r="D29" s="8"/>
      <c r="E29" s="8"/>
      <c r="F29" s="8"/>
      <c r="G29" s="7"/>
      <c r="H29" s="7"/>
      <c r="I29" s="8">
        <v>17</v>
      </c>
      <c r="J29" s="7"/>
      <c r="K29" s="26" t="s">
        <v>79</v>
      </c>
      <c r="L29" s="8">
        <f t="shared" si="0"/>
        <v>76</v>
      </c>
      <c r="M29" s="8">
        <v>46</v>
      </c>
      <c r="N29" s="8">
        <v>10</v>
      </c>
      <c r="O29" s="8">
        <v>20</v>
      </c>
      <c r="P29" s="9" t="s">
        <v>70</v>
      </c>
      <c r="Q29" s="9" t="s">
        <v>71</v>
      </c>
      <c r="R29" s="8">
        <v>17</v>
      </c>
    </row>
    <row r="30" spans="1:18">
      <c r="A30" s="7"/>
      <c r="B30" s="7"/>
      <c r="C30" s="8"/>
      <c r="D30" s="8"/>
      <c r="E30" s="8"/>
      <c r="F30" s="8"/>
      <c r="G30" s="7"/>
      <c r="H30" s="7"/>
      <c r="I30" s="8">
        <v>18</v>
      </c>
      <c r="J30" s="7"/>
      <c r="K30" s="26" t="s">
        <v>92</v>
      </c>
      <c r="L30" s="8">
        <f t="shared" si="0"/>
        <v>99</v>
      </c>
      <c r="M30" s="8">
        <v>59</v>
      </c>
      <c r="N30" s="8">
        <v>20</v>
      </c>
      <c r="O30" s="8">
        <v>20</v>
      </c>
      <c r="P30" s="9" t="s">
        <v>72</v>
      </c>
      <c r="Q30" s="9" t="s">
        <v>73</v>
      </c>
      <c r="R30" s="8">
        <v>18</v>
      </c>
    </row>
    <row r="31" spans="1:18">
      <c r="A31" s="7"/>
      <c r="B31" s="7"/>
      <c r="C31" s="8"/>
      <c r="D31" s="8"/>
      <c r="E31" s="8"/>
      <c r="F31" s="8"/>
      <c r="G31" s="7"/>
      <c r="H31" s="7"/>
      <c r="I31" s="8">
        <v>66</v>
      </c>
      <c r="J31" s="7"/>
      <c r="K31" s="7"/>
      <c r="L31" s="8"/>
      <c r="M31" s="8"/>
      <c r="N31" s="8"/>
      <c r="O31" s="8"/>
      <c r="P31" s="9"/>
      <c r="Q31" s="9"/>
      <c r="R31" s="8">
        <v>19</v>
      </c>
    </row>
    <row r="32" spans="1:18">
      <c r="A32" s="7"/>
      <c r="B32" s="7"/>
      <c r="C32" s="8"/>
      <c r="D32" s="8"/>
      <c r="E32" s="8"/>
      <c r="F32" s="8"/>
      <c r="G32" s="7"/>
      <c r="H32" s="7"/>
      <c r="I32" s="8">
        <v>67</v>
      </c>
      <c r="J32" s="7"/>
      <c r="K32" s="7"/>
      <c r="L32" s="8"/>
      <c r="M32" s="8"/>
      <c r="N32" s="8"/>
      <c r="O32" s="8"/>
      <c r="P32" s="9"/>
      <c r="Q32" s="9"/>
      <c r="R32" s="8">
        <v>20</v>
      </c>
    </row>
    <row r="33" spans="1:18" ht="18.5">
      <c r="A33" s="7"/>
      <c r="B33" s="7"/>
      <c r="C33" s="8"/>
      <c r="D33" s="8"/>
      <c r="E33" s="8"/>
      <c r="F33" s="8"/>
      <c r="G33" s="7"/>
      <c r="H33" s="7"/>
      <c r="I33" s="8">
        <v>68</v>
      </c>
      <c r="J33" s="7"/>
      <c r="K33" s="7"/>
      <c r="L33" s="8"/>
      <c r="M33" s="8"/>
      <c r="N33" s="8"/>
      <c r="O33" s="8"/>
      <c r="P33" s="10"/>
      <c r="Q33" s="10"/>
      <c r="R33" s="8">
        <v>21</v>
      </c>
    </row>
    <row r="34" spans="1:18" ht="18.5">
      <c r="A34" s="7"/>
      <c r="B34" s="7"/>
      <c r="C34" s="8"/>
      <c r="D34" s="8"/>
      <c r="E34" s="8"/>
      <c r="F34" s="8"/>
      <c r="G34" s="7"/>
      <c r="H34" s="7"/>
      <c r="I34" s="8">
        <v>69</v>
      </c>
      <c r="J34" s="7"/>
      <c r="K34" s="7"/>
      <c r="L34" s="8"/>
      <c r="M34" s="8"/>
      <c r="N34" s="8"/>
      <c r="O34" s="8"/>
      <c r="P34" s="10"/>
      <c r="Q34" s="10"/>
      <c r="R34" s="8">
        <v>22</v>
      </c>
    </row>
    <row r="35" spans="1:18" ht="18.5">
      <c r="A35" s="7"/>
      <c r="B35" s="7"/>
      <c r="C35" s="8"/>
      <c r="D35" s="8"/>
      <c r="E35" s="8"/>
      <c r="F35" s="8"/>
      <c r="G35" s="7"/>
      <c r="H35" s="7"/>
      <c r="I35" s="8">
        <v>70</v>
      </c>
      <c r="J35" s="7"/>
      <c r="K35" s="7"/>
      <c r="L35" s="8"/>
      <c r="M35" s="8"/>
      <c r="N35" s="8"/>
      <c r="O35" s="8"/>
      <c r="P35" s="10"/>
      <c r="Q35" s="10"/>
      <c r="R35" s="8">
        <v>23</v>
      </c>
    </row>
    <row r="36" spans="1:18" ht="18.5">
      <c r="A36" s="7"/>
      <c r="B36" s="7"/>
      <c r="C36" s="8"/>
      <c r="D36" s="8"/>
      <c r="E36" s="8"/>
      <c r="F36" s="8"/>
      <c r="G36" s="7"/>
      <c r="H36" s="7"/>
      <c r="I36" s="8">
        <v>71</v>
      </c>
      <c r="J36" s="7"/>
      <c r="K36" s="7"/>
      <c r="L36" s="8"/>
      <c r="M36" s="8"/>
      <c r="N36" s="8"/>
      <c r="O36" s="8"/>
      <c r="P36" s="10"/>
      <c r="Q36" s="10"/>
      <c r="R36" s="8">
        <v>24</v>
      </c>
    </row>
    <row r="37" spans="1:18">
      <c r="A37" s="7"/>
      <c r="B37" s="7"/>
      <c r="C37" s="8"/>
      <c r="D37" s="8"/>
      <c r="E37" s="8"/>
      <c r="F37" s="8"/>
      <c r="G37" s="7"/>
      <c r="H37" s="7"/>
      <c r="I37" s="8">
        <v>72</v>
      </c>
      <c r="J37" s="7"/>
      <c r="K37" s="7"/>
      <c r="L37" s="8"/>
      <c r="M37" s="8"/>
      <c r="N37" s="8"/>
      <c r="O37" s="8"/>
      <c r="P37" s="9"/>
      <c r="Q37" s="9"/>
      <c r="R37" s="8">
        <v>25</v>
      </c>
    </row>
    <row r="38" spans="1:18">
      <c r="A38" s="7"/>
      <c r="B38" s="7"/>
      <c r="C38" s="8"/>
      <c r="D38" s="8"/>
      <c r="E38" s="8"/>
      <c r="F38" s="8"/>
      <c r="G38" s="7"/>
      <c r="H38" s="7"/>
      <c r="I38" s="8">
        <v>73</v>
      </c>
      <c r="J38" s="7"/>
      <c r="K38" s="7"/>
      <c r="L38" s="8"/>
      <c r="M38" s="8"/>
      <c r="N38" s="8"/>
      <c r="O38" s="8"/>
      <c r="P38" s="9"/>
      <c r="Q38" s="9"/>
      <c r="R38" s="8">
        <v>27</v>
      </c>
    </row>
    <row r="39" spans="1:18">
      <c r="A39" s="7"/>
      <c r="B39" s="7"/>
      <c r="C39" s="8"/>
      <c r="D39" s="8"/>
      <c r="E39" s="8"/>
      <c r="F39" s="8"/>
      <c r="G39" s="7"/>
      <c r="H39" s="7"/>
      <c r="I39" s="8">
        <v>74</v>
      </c>
      <c r="J39" s="7"/>
      <c r="K39" s="7"/>
      <c r="L39" s="8"/>
      <c r="M39" s="8"/>
      <c r="N39" s="8"/>
      <c r="O39" s="8"/>
      <c r="P39" s="9"/>
      <c r="Q39" s="9"/>
      <c r="R39" s="8">
        <v>28</v>
      </c>
    </row>
    <row r="40" spans="1:18">
      <c r="A40" s="7"/>
      <c r="B40" s="7"/>
      <c r="C40" s="8"/>
      <c r="D40" s="8"/>
      <c r="E40" s="8"/>
      <c r="F40" s="8"/>
      <c r="G40" s="7"/>
      <c r="H40" s="7"/>
      <c r="I40" s="8">
        <v>75</v>
      </c>
      <c r="J40" s="7"/>
      <c r="K40" s="7"/>
      <c r="L40" s="8"/>
      <c r="M40" s="8"/>
      <c r="N40" s="8"/>
      <c r="O40" s="8"/>
      <c r="P40" s="9"/>
      <c r="Q40" s="9"/>
      <c r="R40" s="8">
        <v>37</v>
      </c>
    </row>
    <row r="41" spans="1:18">
      <c r="A41" s="7"/>
      <c r="B41" s="7"/>
      <c r="C41" s="8"/>
      <c r="D41" s="8"/>
      <c r="E41" s="8"/>
      <c r="F41" s="8"/>
      <c r="G41" s="7"/>
      <c r="H41" s="7"/>
      <c r="I41" s="8">
        <v>76</v>
      </c>
      <c r="J41" s="7"/>
      <c r="K41" s="7"/>
      <c r="L41" s="8"/>
      <c r="M41" s="8"/>
      <c r="N41" s="8"/>
      <c r="O41" s="8"/>
      <c r="P41" s="9"/>
      <c r="Q41" s="9"/>
      <c r="R41" s="8">
        <v>38</v>
      </c>
    </row>
    <row r="42" spans="1:18">
      <c r="A42" s="44" t="s">
        <v>74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</row>
    <row r="43" spans="1:18">
      <c r="E43" s="11" t="s">
        <v>75</v>
      </c>
      <c r="M43" s="11" t="s">
        <v>76</v>
      </c>
    </row>
  </sheetData>
  <mergeCells count="30">
    <mergeCell ref="A1:R1"/>
    <mergeCell ref="A2:R2"/>
    <mergeCell ref="A3:R3"/>
    <mergeCell ref="A4:R4"/>
    <mergeCell ref="A5:R5"/>
    <mergeCell ref="A6:R6"/>
    <mergeCell ref="B7:D7"/>
    <mergeCell ref="G7:I7"/>
    <mergeCell ref="L7:O7"/>
    <mergeCell ref="A9:D9"/>
    <mergeCell ref="E9:F9"/>
    <mergeCell ref="H9:J9"/>
    <mergeCell ref="L9:O9"/>
    <mergeCell ref="P9:Q9"/>
    <mergeCell ref="A42:R42"/>
    <mergeCell ref="A10:R10"/>
    <mergeCell ref="A11:A12"/>
    <mergeCell ref="B11:C11"/>
    <mergeCell ref="D11:D12"/>
    <mergeCell ref="E11:E12"/>
    <mergeCell ref="F11:F12"/>
    <mergeCell ref="G11:H11"/>
    <mergeCell ref="I11:I12"/>
    <mergeCell ref="J11:J12"/>
    <mergeCell ref="K11:L11"/>
    <mergeCell ref="M11:M12"/>
    <mergeCell ref="N11:N12"/>
    <mergeCell ref="O11:O12"/>
    <mergeCell ref="P11:Q11"/>
    <mergeCell ref="R11:R12"/>
  </mergeCells>
  <pageMargins left="0.25" right="0.34375" top="0.15625" bottom="0.114583333333333" header="0.511811023622047" footer="0.511811023622047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3"/>
  <sheetViews>
    <sheetView zoomScaleNormal="100" workbookViewId="0">
      <selection activeCell="N19" sqref="N19"/>
    </sheetView>
  </sheetViews>
  <sheetFormatPr defaultColWidth="9.1796875" defaultRowHeight="14.5"/>
  <cols>
    <col min="1" max="1" width="3.7265625" customWidth="1"/>
    <col min="2" max="3" width="4.7265625" customWidth="1"/>
    <col min="4" max="6" width="4.1796875" customWidth="1"/>
    <col min="9" max="9" width="3.54296875" style="1" customWidth="1"/>
    <col min="10" max="10" width="3.7265625" customWidth="1"/>
    <col min="11" max="12" width="4.7265625" customWidth="1"/>
    <col min="13" max="15" width="4" customWidth="1"/>
    <col min="16" max="17" width="10.7265625" customWidth="1"/>
    <col min="18" max="18" width="3.7265625" style="1" customWidth="1"/>
  </cols>
  <sheetData>
    <row r="1" spans="1:18" ht="14.25" customHeight="1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</row>
    <row r="2" spans="1:18" ht="14.25" customHeight="1">
      <c r="A2" s="29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</row>
    <row r="3" spans="1:18" ht="14.25" customHeight="1">
      <c r="A3" s="29" t="s">
        <v>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</row>
    <row r="4" spans="1:18" ht="14.25" customHeight="1">
      <c r="A4" s="29" t="s">
        <v>3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</row>
    <row r="5" spans="1:18" ht="14.25" customHeight="1">
      <c r="A5" s="29" t="s">
        <v>4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</row>
    <row r="6" spans="1:18" ht="14.25" customHeight="1">
      <c r="A6" s="36" t="s">
        <v>5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</row>
    <row r="7" spans="1:18" ht="15.75" customHeight="1">
      <c r="B7" s="37" t="s">
        <v>6</v>
      </c>
      <c r="C7" s="37"/>
      <c r="D7" s="37"/>
      <c r="G7" s="38" t="s">
        <v>7</v>
      </c>
      <c r="H7" s="38"/>
      <c r="I7" s="38"/>
      <c r="J7" s="2"/>
      <c r="K7" s="1"/>
      <c r="L7" s="39" t="s">
        <v>8</v>
      </c>
      <c r="M7" s="39"/>
      <c r="N7" s="39"/>
      <c r="O7" s="39"/>
      <c r="P7" s="3" t="s">
        <v>9</v>
      </c>
      <c r="Q7" s="4" t="s">
        <v>10</v>
      </c>
    </row>
    <row r="8" spans="1:18" ht="6.75" customHeight="1"/>
    <row r="9" spans="1:18">
      <c r="A9" s="40" t="s">
        <v>120</v>
      </c>
      <c r="B9" s="40"/>
      <c r="C9" s="40"/>
      <c r="D9" s="40"/>
      <c r="E9" s="41" t="s">
        <v>12</v>
      </c>
      <c r="F9" s="41"/>
      <c r="H9" s="41" t="s">
        <v>13</v>
      </c>
      <c r="I9" s="41"/>
      <c r="J9" s="41"/>
      <c r="L9" s="42" t="s">
        <v>77</v>
      </c>
      <c r="M9" s="42"/>
      <c r="N9" s="42"/>
      <c r="O9" s="42"/>
      <c r="P9" s="46" t="s">
        <v>121</v>
      </c>
      <c r="Q9" s="46"/>
    </row>
    <row r="10" spans="1:18" ht="7.5" customHeight="1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</row>
    <row r="11" spans="1:18" ht="19.5" customHeight="1">
      <c r="A11" s="30" t="s">
        <v>16</v>
      </c>
      <c r="B11" s="31" t="s">
        <v>17</v>
      </c>
      <c r="C11" s="31"/>
      <c r="D11" s="32" t="s">
        <v>18</v>
      </c>
      <c r="E11" s="32" t="s">
        <v>19</v>
      </c>
      <c r="F11" s="30" t="s">
        <v>20</v>
      </c>
      <c r="G11" s="33" t="s">
        <v>21</v>
      </c>
      <c r="H11" s="33"/>
      <c r="I11" s="34" t="s">
        <v>22</v>
      </c>
      <c r="J11" s="30" t="s">
        <v>16</v>
      </c>
      <c r="K11" s="35" t="s">
        <v>17</v>
      </c>
      <c r="L11" s="35"/>
      <c r="M11" s="32" t="s">
        <v>18</v>
      </c>
      <c r="N11" s="32" t="s">
        <v>19</v>
      </c>
      <c r="O11" s="30" t="s">
        <v>20</v>
      </c>
      <c r="P11" s="33" t="s">
        <v>21</v>
      </c>
      <c r="Q11" s="33"/>
      <c r="R11" s="34" t="s">
        <v>22</v>
      </c>
    </row>
    <row r="12" spans="1:18" ht="25.5" customHeight="1">
      <c r="A12" s="30"/>
      <c r="B12" s="6" t="s">
        <v>23</v>
      </c>
      <c r="C12" s="6" t="s">
        <v>24</v>
      </c>
      <c r="D12" s="32"/>
      <c r="E12" s="32"/>
      <c r="F12" s="32"/>
      <c r="G12" s="5" t="s">
        <v>25</v>
      </c>
      <c r="H12" s="5" t="s">
        <v>26</v>
      </c>
      <c r="I12" s="34"/>
      <c r="J12" s="34"/>
      <c r="K12" s="6" t="s">
        <v>23</v>
      </c>
      <c r="L12" s="6" t="s">
        <v>24</v>
      </c>
      <c r="M12" s="32"/>
      <c r="N12" s="32"/>
      <c r="O12" s="32"/>
      <c r="P12" s="5" t="s">
        <v>25</v>
      </c>
      <c r="Q12" s="5" t="s">
        <v>26</v>
      </c>
      <c r="R12" s="34"/>
    </row>
    <row r="13" spans="1:18">
      <c r="A13" s="7"/>
      <c r="B13" s="7"/>
      <c r="C13" s="8"/>
      <c r="D13" s="8"/>
      <c r="E13" s="8"/>
      <c r="F13" s="8"/>
      <c r="G13" s="7"/>
      <c r="H13" s="7"/>
      <c r="I13" s="8">
        <v>1</v>
      </c>
      <c r="J13" s="7"/>
      <c r="K13" s="26" t="s">
        <v>53</v>
      </c>
      <c r="L13" s="8">
        <f t="shared" ref="L13:L30" si="0">SUM(M13:O13)</f>
        <v>70</v>
      </c>
      <c r="M13" s="8">
        <v>31</v>
      </c>
      <c r="N13" s="8">
        <v>19</v>
      </c>
      <c r="O13" s="8">
        <v>20</v>
      </c>
      <c r="P13" s="9" t="s">
        <v>28</v>
      </c>
      <c r="Q13" s="9" t="s">
        <v>29</v>
      </c>
      <c r="R13" s="8">
        <v>1</v>
      </c>
    </row>
    <row r="14" spans="1:18">
      <c r="A14" s="7"/>
      <c r="B14" s="7"/>
      <c r="C14" s="8"/>
      <c r="D14" s="8"/>
      <c r="E14" s="8"/>
      <c r="F14" s="8"/>
      <c r="G14" s="7"/>
      <c r="H14" s="7"/>
      <c r="I14" s="8">
        <v>2</v>
      </c>
      <c r="J14" s="7"/>
      <c r="K14" s="26" t="s">
        <v>81</v>
      </c>
      <c r="L14" s="8">
        <f t="shared" si="0"/>
        <v>100</v>
      </c>
      <c r="M14" s="8">
        <v>60</v>
      </c>
      <c r="N14" s="8">
        <v>20</v>
      </c>
      <c r="O14" s="8">
        <v>20</v>
      </c>
      <c r="P14" s="9" t="s">
        <v>30</v>
      </c>
      <c r="Q14" s="9" t="s">
        <v>31</v>
      </c>
      <c r="R14" s="8">
        <v>2</v>
      </c>
    </row>
    <row r="15" spans="1:18">
      <c r="A15" s="7"/>
      <c r="B15" s="7"/>
      <c r="C15" s="8"/>
      <c r="D15" s="8"/>
      <c r="E15" s="8"/>
      <c r="F15" s="8"/>
      <c r="G15" s="7"/>
      <c r="H15" s="7"/>
      <c r="I15" s="8">
        <v>3</v>
      </c>
      <c r="J15" s="7"/>
      <c r="K15" s="26" t="s">
        <v>109</v>
      </c>
      <c r="L15" s="8">
        <f t="shared" si="0"/>
        <v>65</v>
      </c>
      <c r="M15" s="8">
        <v>40</v>
      </c>
      <c r="N15" s="8">
        <v>5</v>
      </c>
      <c r="O15" s="8">
        <v>20</v>
      </c>
      <c r="P15" s="9" t="s">
        <v>33</v>
      </c>
      <c r="Q15" s="9" t="s">
        <v>34</v>
      </c>
      <c r="R15" s="8">
        <v>3</v>
      </c>
    </row>
    <row r="16" spans="1:18">
      <c r="A16" s="7"/>
      <c r="B16" s="7"/>
      <c r="C16" s="8"/>
      <c r="D16" s="8"/>
      <c r="E16" s="8"/>
      <c r="F16" s="8"/>
      <c r="G16" s="7"/>
      <c r="H16" s="7"/>
      <c r="I16" s="8">
        <v>4</v>
      </c>
      <c r="J16" s="7"/>
      <c r="K16" s="26" t="s">
        <v>82</v>
      </c>
      <c r="L16" s="8">
        <f t="shared" si="0"/>
        <v>90</v>
      </c>
      <c r="M16" s="8">
        <v>52</v>
      </c>
      <c r="N16" s="8">
        <v>18</v>
      </c>
      <c r="O16" s="8">
        <v>20</v>
      </c>
      <c r="P16" s="9" t="s">
        <v>36</v>
      </c>
      <c r="Q16" s="9" t="s">
        <v>37</v>
      </c>
      <c r="R16" s="8">
        <v>4</v>
      </c>
    </row>
    <row r="17" spans="1:18">
      <c r="A17" s="7"/>
      <c r="B17" s="7"/>
      <c r="C17" s="8"/>
      <c r="D17" s="8"/>
      <c r="E17" s="8"/>
      <c r="F17" s="8"/>
      <c r="G17" s="7"/>
      <c r="H17" s="7"/>
      <c r="I17" s="8">
        <v>5</v>
      </c>
      <c r="J17" s="7"/>
      <c r="K17" s="26" t="s">
        <v>81</v>
      </c>
      <c r="L17" s="8">
        <f t="shared" si="0"/>
        <v>100</v>
      </c>
      <c r="M17" s="8">
        <v>60</v>
      </c>
      <c r="N17" s="8">
        <v>20</v>
      </c>
      <c r="O17" s="8">
        <v>20</v>
      </c>
      <c r="P17" s="9" t="s">
        <v>39</v>
      </c>
      <c r="Q17" s="9" t="s">
        <v>40</v>
      </c>
      <c r="R17" s="8">
        <v>5</v>
      </c>
    </row>
    <row r="18" spans="1:18">
      <c r="A18" s="7"/>
      <c r="B18" s="7"/>
      <c r="C18" s="8"/>
      <c r="D18" s="8"/>
      <c r="E18" s="8"/>
      <c r="F18" s="8"/>
      <c r="G18" s="7"/>
      <c r="H18" s="7"/>
      <c r="I18" s="8">
        <v>6</v>
      </c>
      <c r="J18" s="7"/>
      <c r="K18" s="26" t="s">
        <v>63</v>
      </c>
      <c r="L18" s="8">
        <f t="shared" si="0"/>
        <v>82</v>
      </c>
      <c r="M18" s="8">
        <v>44</v>
      </c>
      <c r="N18" s="8">
        <v>18</v>
      </c>
      <c r="O18" s="8">
        <v>20</v>
      </c>
      <c r="P18" s="9" t="s">
        <v>42</v>
      </c>
      <c r="Q18" s="9" t="s">
        <v>43</v>
      </c>
      <c r="R18" s="8">
        <v>6</v>
      </c>
    </row>
    <row r="19" spans="1:18">
      <c r="A19" s="7"/>
      <c r="B19" s="7"/>
      <c r="C19" s="8"/>
      <c r="D19" s="8"/>
      <c r="E19" s="8"/>
      <c r="F19" s="8"/>
      <c r="G19" s="7"/>
      <c r="H19" s="7"/>
      <c r="I19" s="8">
        <v>7</v>
      </c>
      <c r="J19" s="7"/>
      <c r="K19" s="26" t="s">
        <v>89</v>
      </c>
      <c r="L19" s="8">
        <f t="shared" si="0"/>
        <v>83</v>
      </c>
      <c r="M19" s="8">
        <v>56</v>
      </c>
      <c r="N19" s="8">
        <v>7</v>
      </c>
      <c r="O19" s="8">
        <v>20</v>
      </c>
      <c r="P19" s="9" t="s">
        <v>45</v>
      </c>
      <c r="Q19" s="9" t="s">
        <v>46</v>
      </c>
      <c r="R19" s="8">
        <v>7</v>
      </c>
    </row>
    <row r="20" spans="1:18">
      <c r="A20" s="7"/>
      <c r="B20" s="7"/>
      <c r="C20" s="8"/>
      <c r="D20" s="8"/>
      <c r="E20" s="8"/>
      <c r="F20" s="8"/>
      <c r="G20" s="7"/>
      <c r="H20" s="7"/>
      <c r="I20" s="8">
        <v>8</v>
      </c>
      <c r="J20" s="7"/>
      <c r="K20" s="26" t="s">
        <v>81</v>
      </c>
      <c r="L20" s="8">
        <f t="shared" si="0"/>
        <v>100</v>
      </c>
      <c r="M20" s="8">
        <v>60</v>
      </c>
      <c r="N20" s="8">
        <v>20</v>
      </c>
      <c r="O20" s="8">
        <v>20</v>
      </c>
      <c r="P20" s="9" t="s">
        <v>48</v>
      </c>
      <c r="Q20" s="9" t="s">
        <v>49</v>
      </c>
      <c r="R20" s="8">
        <v>8</v>
      </c>
    </row>
    <row r="21" spans="1:18">
      <c r="A21" s="7"/>
      <c r="B21" s="7"/>
      <c r="C21" s="8"/>
      <c r="D21" s="8"/>
      <c r="E21" s="8"/>
      <c r="F21" s="8"/>
      <c r="G21" s="7"/>
      <c r="H21" s="7"/>
      <c r="I21" s="8">
        <v>9</v>
      </c>
      <c r="J21" s="7"/>
      <c r="K21" s="26" t="s">
        <v>38</v>
      </c>
      <c r="L21" s="8">
        <f t="shared" si="0"/>
        <v>88</v>
      </c>
      <c r="M21" s="8">
        <v>54</v>
      </c>
      <c r="N21" s="8">
        <v>14</v>
      </c>
      <c r="O21" s="8">
        <v>20</v>
      </c>
      <c r="P21" s="9" t="s">
        <v>51</v>
      </c>
      <c r="Q21" s="9" t="s">
        <v>52</v>
      </c>
      <c r="R21" s="8">
        <v>9</v>
      </c>
    </row>
    <row r="22" spans="1:18">
      <c r="A22" s="7"/>
      <c r="B22" s="7"/>
      <c r="C22" s="8"/>
      <c r="D22" s="8"/>
      <c r="E22" s="8"/>
      <c r="F22" s="8"/>
      <c r="G22" s="7"/>
      <c r="H22" s="7"/>
      <c r="I22" s="8">
        <v>10</v>
      </c>
      <c r="J22" s="7"/>
      <c r="K22" s="26" t="s">
        <v>110</v>
      </c>
      <c r="L22" s="8">
        <f t="shared" si="0"/>
        <v>81</v>
      </c>
      <c r="M22" s="8">
        <v>45</v>
      </c>
      <c r="N22" s="8">
        <v>16</v>
      </c>
      <c r="O22" s="8">
        <v>20</v>
      </c>
      <c r="P22" s="9" t="s">
        <v>54</v>
      </c>
      <c r="Q22" s="9" t="s">
        <v>55</v>
      </c>
      <c r="R22" s="8">
        <v>10</v>
      </c>
    </row>
    <row r="23" spans="1:18">
      <c r="A23" s="7"/>
      <c r="B23" s="7"/>
      <c r="C23" s="8"/>
      <c r="D23" s="8"/>
      <c r="E23" s="8"/>
      <c r="F23" s="8"/>
      <c r="G23" s="7"/>
      <c r="H23" s="7"/>
      <c r="I23" s="8">
        <v>11</v>
      </c>
      <c r="J23" s="7"/>
      <c r="K23" s="26" t="s">
        <v>85</v>
      </c>
      <c r="L23" s="8">
        <f t="shared" si="0"/>
        <v>74</v>
      </c>
      <c r="M23" s="8">
        <v>49</v>
      </c>
      <c r="N23" s="8">
        <v>5</v>
      </c>
      <c r="O23" s="8">
        <v>20</v>
      </c>
      <c r="P23" s="9" t="s">
        <v>56</v>
      </c>
      <c r="Q23" s="9" t="s">
        <v>57</v>
      </c>
      <c r="R23" s="8">
        <v>11</v>
      </c>
    </row>
    <row r="24" spans="1:18">
      <c r="A24" s="7"/>
      <c r="B24" s="7"/>
      <c r="C24" s="8"/>
      <c r="D24" s="8"/>
      <c r="E24" s="8"/>
      <c r="F24" s="8"/>
      <c r="G24" s="7"/>
      <c r="H24" s="7"/>
      <c r="I24" s="8">
        <v>12</v>
      </c>
      <c r="J24" s="7"/>
      <c r="K24" s="26" t="s">
        <v>38</v>
      </c>
      <c r="L24" s="8">
        <f t="shared" si="0"/>
        <v>88</v>
      </c>
      <c r="M24" s="8">
        <v>49</v>
      </c>
      <c r="N24" s="8">
        <v>19</v>
      </c>
      <c r="O24" s="8">
        <v>20</v>
      </c>
      <c r="P24" s="9" t="s">
        <v>58</v>
      </c>
      <c r="Q24" s="9" t="s">
        <v>59</v>
      </c>
      <c r="R24" s="8">
        <v>12</v>
      </c>
    </row>
    <row r="25" spans="1:18">
      <c r="A25" s="7"/>
      <c r="B25" s="7"/>
      <c r="C25" s="8"/>
      <c r="D25" s="8"/>
      <c r="E25" s="8"/>
      <c r="F25" s="8"/>
      <c r="G25" s="7"/>
      <c r="H25" s="7"/>
      <c r="I25" s="8">
        <v>13</v>
      </c>
      <c r="J25" s="7"/>
      <c r="K25" s="26" t="s">
        <v>81</v>
      </c>
      <c r="L25" s="8">
        <f t="shared" si="0"/>
        <v>100</v>
      </c>
      <c r="M25" s="8">
        <v>60</v>
      </c>
      <c r="N25" s="8">
        <v>20</v>
      </c>
      <c r="O25" s="8">
        <v>20</v>
      </c>
      <c r="P25" s="9" t="s">
        <v>61</v>
      </c>
      <c r="Q25" s="9" t="s">
        <v>62</v>
      </c>
      <c r="R25" s="8">
        <v>13</v>
      </c>
    </row>
    <row r="26" spans="1:18">
      <c r="A26" s="7"/>
      <c r="B26" s="7"/>
      <c r="C26" s="8"/>
      <c r="D26" s="8"/>
      <c r="E26" s="8"/>
      <c r="F26" s="8"/>
      <c r="G26" s="7"/>
      <c r="H26" s="7"/>
      <c r="I26" s="8">
        <v>14</v>
      </c>
      <c r="J26" s="7"/>
      <c r="K26" s="26" t="s">
        <v>89</v>
      </c>
      <c r="L26" s="8">
        <f t="shared" si="0"/>
        <v>83</v>
      </c>
      <c r="M26" s="8">
        <v>50</v>
      </c>
      <c r="N26" s="8">
        <v>13</v>
      </c>
      <c r="O26" s="8">
        <v>20</v>
      </c>
      <c r="P26" s="9" t="s">
        <v>64</v>
      </c>
      <c r="Q26" s="9" t="s">
        <v>65</v>
      </c>
      <c r="R26" s="8">
        <v>14</v>
      </c>
    </row>
    <row r="27" spans="1:18">
      <c r="A27" s="7"/>
      <c r="B27" s="7"/>
      <c r="C27" s="8"/>
      <c r="D27" s="8"/>
      <c r="E27" s="8"/>
      <c r="F27" s="8"/>
      <c r="G27" s="7"/>
      <c r="H27" s="7"/>
      <c r="I27" s="8">
        <v>15</v>
      </c>
      <c r="J27" s="7"/>
      <c r="K27" s="26" t="s">
        <v>90</v>
      </c>
      <c r="L27" s="8">
        <f t="shared" si="0"/>
        <v>98</v>
      </c>
      <c r="M27" s="8">
        <v>58</v>
      </c>
      <c r="N27" s="8">
        <v>20</v>
      </c>
      <c r="O27" s="8">
        <v>20</v>
      </c>
      <c r="P27" s="9" t="s">
        <v>54</v>
      </c>
      <c r="Q27" s="9" t="s">
        <v>67</v>
      </c>
      <c r="R27" s="8">
        <v>15</v>
      </c>
    </row>
    <row r="28" spans="1:18">
      <c r="A28" s="7"/>
      <c r="B28" s="7"/>
      <c r="C28" s="8"/>
      <c r="D28" s="8"/>
      <c r="E28" s="8"/>
      <c r="F28" s="8"/>
      <c r="G28" s="7"/>
      <c r="H28" s="7"/>
      <c r="I28" s="8">
        <v>16</v>
      </c>
      <c r="J28" s="7"/>
      <c r="K28" s="26" t="s">
        <v>118</v>
      </c>
      <c r="L28" s="8">
        <f t="shared" si="0"/>
        <v>72</v>
      </c>
      <c r="M28" s="8">
        <v>32</v>
      </c>
      <c r="N28" s="8">
        <v>20</v>
      </c>
      <c r="O28" s="8">
        <v>20</v>
      </c>
      <c r="P28" s="9" t="s">
        <v>68</v>
      </c>
      <c r="Q28" s="9" t="s">
        <v>69</v>
      </c>
      <c r="R28" s="8">
        <v>16</v>
      </c>
    </row>
    <row r="29" spans="1:18">
      <c r="A29" s="7"/>
      <c r="B29" s="7"/>
      <c r="C29" s="8"/>
      <c r="D29" s="8"/>
      <c r="E29" s="8"/>
      <c r="F29" s="8"/>
      <c r="G29" s="7"/>
      <c r="H29" s="7"/>
      <c r="I29" s="8">
        <v>17</v>
      </c>
      <c r="J29" s="7"/>
      <c r="K29" s="26" t="s">
        <v>47</v>
      </c>
      <c r="L29" s="8">
        <f t="shared" si="0"/>
        <v>94</v>
      </c>
      <c r="M29" s="8">
        <v>60</v>
      </c>
      <c r="N29" s="8">
        <v>14</v>
      </c>
      <c r="O29" s="8">
        <v>20</v>
      </c>
      <c r="P29" s="9" t="s">
        <v>70</v>
      </c>
      <c r="Q29" s="9" t="s">
        <v>71</v>
      </c>
      <c r="R29" s="8">
        <v>17</v>
      </c>
    </row>
    <row r="30" spans="1:18">
      <c r="A30" s="7"/>
      <c r="B30" s="7"/>
      <c r="C30" s="8"/>
      <c r="D30" s="8"/>
      <c r="E30" s="8"/>
      <c r="F30" s="8"/>
      <c r="G30" s="7"/>
      <c r="H30" s="7"/>
      <c r="I30" s="8">
        <v>18</v>
      </c>
      <c r="J30" s="7"/>
      <c r="K30" s="26" t="s">
        <v>63</v>
      </c>
      <c r="L30" s="8">
        <f t="shared" si="0"/>
        <v>82</v>
      </c>
      <c r="M30" s="8">
        <v>54</v>
      </c>
      <c r="N30" s="8">
        <v>8</v>
      </c>
      <c r="O30" s="8">
        <v>20</v>
      </c>
      <c r="P30" s="9" t="s">
        <v>72</v>
      </c>
      <c r="Q30" s="9" t="s">
        <v>73</v>
      </c>
      <c r="R30" s="8">
        <v>18</v>
      </c>
    </row>
    <row r="31" spans="1:18">
      <c r="A31" s="7"/>
      <c r="B31" s="7"/>
      <c r="C31" s="8"/>
      <c r="D31" s="8"/>
      <c r="E31" s="8"/>
      <c r="F31" s="8"/>
      <c r="G31" s="7"/>
      <c r="H31" s="7"/>
      <c r="I31" s="8">
        <v>66</v>
      </c>
      <c r="J31" s="7"/>
      <c r="K31" s="7"/>
      <c r="L31" s="8"/>
      <c r="M31" s="8"/>
      <c r="N31" s="8"/>
      <c r="O31" s="8"/>
      <c r="P31" s="9"/>
      <c r="Q31" s="9"/>
      <c r="R31" s="8">
        <v>28</v>
      </c>
    </row>
    <row r="32" spans="1:18">
      <c r="A32" s="7"/>
      <c r="B32" s="7"/>
      <c r="C32" s="8"/>
      <c r="D32" s="8"/>
      <c r="E32" s="8"/>
      <c r="F32" s="8"/>
      <c r="G32" s="7"/>
      <c r="H32" s="7"/>
      <c r="I32" s="8">
        <v>67</v>
      </c>
      <c r="J32" s="7"/>
      <c r="K32" s="7"/>
      <c r="L32" s="8"/>
      <c r="M32" s="8"/>
      <c r="N32" s="8"/>
      <c r="O32" s="8"/>
      <c r="P32" s="9"/>
      <c r="Q32" s="9"/>
      <c r="R32" s="8">
        <v>29</v>
      </c>
    </row>
    <row r="33" spans="1:18" ht="18.5">
      <c r="A33" s="7"/>
      <c r="B33" s="7"/>
      <c r="C33" s="8"/>
      <c r="D33" s="8"/>
      <c r="E33" s="8"/>
      <c r="F33" s="8"/>
      <c r="G33" s="7"/>
      <c r="H33" s="7"/>
      <c r="I33" s="8">
        <v>68</v>
      </c>
      <c r="J33" s="7"/>
      <c r="K33" s="7"/>
      <c r="L33" s="8"/>
      <c r="M33" s="8"/>
      <c r="N33" s="8"/>
      <c r="O33" s="8"/>
      <c r="P33" s="10"/>
      <c r="Q33" s="10"/>
      <c r="R33" s="8">
        <v>30</v>
      </c>
    </row>
    <row r="34" spans="1:18" ht="18.5">
      <c r="A34" s="7"/>
      <c r="B34" s="7"/>
      <c r="C34" s="8"/>
      <c r="D34" s="8"/>
      <c r="E34" s="8"/>
      <c r="F34" s="8"/>
      <c r="G34" s="7"/>
      <c r="H34" s="7"/>
      <c r="I34" s="8">
        <v>69</v>
      </c>
      <c r="J34" s="7"/>
      <c r="K34" s="7"/>
      <c r="L34" s="8"/>
      <c r="M34" s="8"/>
      <c r="N34" s="8"/>
      <c r="O34" s="8"/>
      <c r="P34" s="10"/>
      <c r="Q34" s="10"/>
      <c r="R34" s="8">
        <v>31</v>
      </c>
    </row>
    <row r="35" spans="1:18" ht="18.5">
      <c r="A35" s="7"/>
      <c r="B35" s="7"/>
      <c r="C35" s="8"/>
      <c r="D35" s="8"/>
      <c r="E35" s="8"/>
      <c r="F35" s="8"/>
      <c r="G35" s="7"/>
      <c r="H35" s="7"/>
      <c r="I35" s="8">
        <v>70</v>
      </c>
      <c r="J35" s="7"/>
      <c r="K35" s="7"/>
      <c r="L35" s="8"/>
      <c r="M35" s="8"/>
      <c r="N35" s="8"/>
      <c r="O35" s="8"/>
      <c r="P35" s="10"/>
      <c r="Q35" s="10"/>
      <c r="R35" s="8">
        <v>32</v>
      </c>
    </row>
    <row r="36" spans="1:18" ht="18.5">
      <c r="A36" s="7"/>
      <c r="B36" s="7"/>
      <c r="C36" s="8"/>
      <c r="D36" s="8"/>
      <c r="E36" s="8"/>
      <c r="F36" s="8"/>
      <c r="G36" s="7"/>
      <c r="H36" s="7"/>
      <c r="I36" s="8">
        <v>71</v>
      </c>
      <c r="J36" s="7"/>
      <c r="K36" s="7"/>
      <c r="L36" s="8"/>
      <c r="M36" s="8"/>
      <c r="N36" s="8"/>
      <c r="O36" s="8"/>
      <c r="P36" s="10"/>
      <c r="Q36" s="10"/>
      <c r="R36" s="8">
        <v>33</v>
      </c>
    </row>
    <row r="37" spans="1:18">
      <c r="A37" s="7"/>
      <c r="B37" s="7"/>
      <c r="C37" s="8"/>
      <c r="D37" s="8"/>
      <c r="E37" s="8"/>
      <c r="F37" s="8"/>
      <c r="G37" s="7"/>
      <c r="H37" s="7"/>
      <c r="I37" s="8">
        <v>72</v>
      </c>
      <c r="J37" s="7"/>
      <c r="K37" s="7"/>
      <c r="L37" s="8"/>
      <c r="M37" s="8"/>
      <c r="N37" s="8"/>
      <c r="O37" s="8"/>
      <c r="P37" s="9"/>
      <c r="Q37" s="9"/>
      <c r="R37" s="8">
        <v>34</v>
      </c>
    </row>
    <row r="38" spans="1:18">
      <c r="A38" s="7"/>
      <c r="B38" s="7"/>
      <c r="C38" s="8"/>
      <c r="D38" s="8"/>
      <c r="E38" s="8"/>
      <c r="F38" s="8"/>
      <c r="G38" s="7"/>
      <c r="H38" s="7"/>
      <c r="I38" s="8">
        <v>73</v>
      </c>
      <c r="J38" s="7"/>
      <c r="K38" s="7"/>
      <c r="L38" s="8"/>
      <c r="M38" s="8"/>
      <c r="N38" s="8"/>
      <c r="O38" s="8"/>
      <c r="P38" s="9"/>
      <c r="Q38" s="9"/>
      <c r="R38" s="8">
        <v>35</v>
      </c>
    </row>
    <row r="39" spans="1:18">
      <c r="A39" s="7"/>
      <c r="B39" s="7"/>
      <c r="C39" s="8"/>
      <c r="D39" s="8"/>
      <c r="E39" s="8"/>
      <c r="F39" s="8"/>
      <c r="G39" s="7"/>
      <c r="H39" s="7"/>
      <c r="I39" s="8">
        <v>74</v>
      </c>
      <c r="J39" s="7"/>
      <c r="K39" s="7"/>
      <c r="L39" s="8"/>
      <c r="M39" s="8"/>
      <c r="N39" s="8"/>
      <c r="O39" s="8"/>
      <c r="P39" s="9"/>
      <c r="Q39" s="9"/>
      <c r="R39" s="8">
        <v>36</v>
      </c>
    </row>
    <row r="40" spans="1:18">
      <c r="A40" s="7"/>
      <c r="B40" s="7"/>
      <c r="C40" s="8"/>
      <c r="D40" s="8"/>
      <c r="E40" s="8"/>
      <c r="F40" s="8"/>
      <c r="G40" s="7"/>
      <c r="H40" s="7"/>
      <c r="I40" s="8">
        <v>75</v>
      </c>
      <c r="J40" s="7"/>
      <c r="K40" s="7"/>
      <c r="L40" s="8"/>
      <c r="M40" s="8"/>
      <c r="N40" s="8"/>
      <c r="O40" s="8"/>
      <c r="P40" s="9"/>
      <c r="Q40" s="9"/>
      <c r="R40" s="8">
        <v>37</v>
      </c>
    </row>
    <row r="41" spans="1:18">
      <c r="A41" s="7"/>
      <c r="B41" s="7"/>
      <c r="C41" s="8"/>
      <c r="D41" s="8"/>
      <c r="E41" s="8"/>
      <c r="F41" s="8"/>
      <c r="G41" s="7"/>
      <c r="H41" s="7"/>
      <c r="I41" s="8">
        <v>76</v>
      </c>
      <c r="J41" s="7"/>
      <c r="K41" s="7"/>
      <c r="L41" s="8"/>
      <c r="M41" s="8"/>
      <c r="N41" s="8"/>
      <c r="O41" s="8"/>
      <c r="P41" s="9"/>
      <c r="Q41" s="9"/>
      <c r="R41" s="8">
        <v>38</v>
      </c>
    </row>
    <row r="42" spans="1:18">
      <c r="A42" s="44" t="s">
        <v>74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</row>
    <row r="43" spans="1:18">
      <c r="E43" s="11" t="s">
        <v>75</v>
      </c>
      <c r="M43" s="11" t="s">
        <v>76</v>
      </c>
    </row>
  </sheetData>
  <mergeCells count="30">
    <mergeCell ref="A1:R1"/>
    <mergeCell ref="A2:R2"/>
    <mergeCell ref="A3:R3"/>
    <mergeCell ref="A4:R4"/>
    <mergeCell ref="A5:R5"/>
    <mergeCell ref="A6:R6"/>
    <mergeCell ref="B7:D7"/>
    <mergeCell ref="G7:I7"/>
    <mergeCell ref="L7:O7"/>
    <mergeCell ref="A9:D9"/>
    <mergeCell ref="E9:F9"/>
    <mergeCell ref="H9:J9"/>
    <mergeCell ref="L9:O9"/>
    <mergeCell ref="P9:Q9"/>
    <mergeCell ref="A42:R42"/>
    <mergeCell ref="A10:R10"/>
    <mergeCell ref="A11:A12"/>
    <mergeCell ref="B11:C11"/>
    <mergeCell ref="D11:D12"/>
    <mergeCell ref="E11:E12"/>
    <mergeCell ref="F11:F12"/>
    <mergeCell ref="G11:H11"/>
    <mergeCell ref="I11:I12"/>
    <mergeCell ref="J11:J12"/>
    <mergeCell ref="K11:L11"/>
    <mergeCell ref="M11:M12"/>
    <mergeCell ref="N11:N12"/>
    <mergeCell ref="O11:O12"/>
    <mergeCell ref="P11:Q11"/>
    <mergeCell ref="R11:R12"/>
  </mergeCells>
  <pageMargins left="0.25" right="0.45833333333333298" top="0.15625" bottom="0.114583333333333" header="0.511811023622047" footer="0.511811023622047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3"/>
  <sheetViews>
    <sheetView topLeftCell="A13" zoomScaleNormal="100" workbookViewId="0">
      <selection activeCell="O28" sqref="O28"/>
    </sheetView>
  </sheetViews>
  <sheetFormatPr defaultColWidth="9.1796875" defaultRowHeight="14.5"/>
  <cols>
    <col min="1" max="1" width="3.7265625" customWidth="1"/>
    <col min="2" max="3" width="4.7265625" customWidth="1"/>
    <col min="4" max="6" width="4.1796875" customWidth="1"/>
    <col min="7" max="8" width="9.453125" customWidth="1"/>
    <col min="9" max="9" width="3.54296875" style="1" customWidth="1"/>
    <col min="10" max="10" width="3.7265625" customWidth="1"/>
    <col min="11" max="12" width="4.7265625" customWidth="1"/>
    <col min="13" max="15" width="4" customWidth="1"/>
    <col min="16" max="17" width="10.7265625" customWidth="1"/>
    <col min="18" max="18" width="3.7265625" style="1" customWidth="1"/>
  </cols>
  <sheetData>
    <row r="1" spans="1:18" ht="12.75" customHeight="1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</row>
    <row r="2" spans="1:18" ht="12.75" customHeight="1">
      <c r="A2" s="29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</row>
    <row r="3" spans="1:18" ht="12.75" customHeight="1">
      <c r="A3" s="29" t="s">
        <v>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</row>
    <row r="4" spans="1:18" ht="12.75" customHeight="1">
      <c r="A4" s="29" t="s">
        <v>3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</row>
    <row r="5" spans="1:18" ht="12.75" customHeight="1">
      <c r="A5" s="29" t="s">
        <v>4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</row>
    <row r="6" spans="1:18" ht="12.75" customHeight="1">
      <c r="A6" s="36" t="s">
        <v>5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</row>
    <row r="7" spans="1:18" ht="15.75" customHeight="1">
      <c r="B7" s="37" t="s">
        <v>6</v>
      </c>
      <c r="C7" s="37"/>
      <c r="D7" s="37"/>
      <c r="G7" s="38" t="s">
        <v>7</v>
      </c>
      <c r="H7" s="38"/>
      <c r="I7" s="38"/>
      <c r="J7" s="2"/>
      <c r="K7" s="1"/>
      <c r="L7" s="39" t="s">
        <v>8</v>
      </c>
      <c r="M7" s="39"/>
      <c r="N7" s="39"/>
      <c r="O7" s="39"/>
      <c r="P7" s="3" t="s">
        <v>9</v>
      </c>
      <c r="Q7" s="4" t="s">
        <v>10</v>
      </c>
    </row>
    <row r="8" spans="1:18" ht="6.75" customHeight="1"/>
    <row r="9" spans="1:18">
      <c r="A9" s="40" t="s">
        <v>122</v>
      </c>
      <c r="B9" s="40"/>
      <c r="C9" s="40"/>
      <c r="D9" s="40"/>
      <c r="E9" s="41" t="s">
        <v>12</v>
      </c>
      <c r="F9" s="41"/>
      <c r="H9" s="41" t="s">
        <v>13</v>
      </c>
      <c r="I9" s="41"/>
      <c r="J9" s="41"/>
      <c r="L9" s="42" t="s">
        <v>123</v>
      </c>
      <c r="M9" s="42"/>
      <c r="N9" s="42"/>
      <c r="O9" s="42"/>
      <c r="P9" s="43" t="s">
        <v>124</v>
      </c>
      <c r="Q9" s="43"/>
    </row>
    <row r="10" spans="1:18" ht="7.5" customHeight="1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</row>
    <row r="11" spans="1:18" ht="19.5" customHeight="1">
      <c r="A11" s="30" t="s">
        <v>16</v>
      </c>
      <c r="B11" s="31" t="s">
        <v>17</v>
      </c>
      <c r="C11" s="31"/>
      <c r="D11" s="32" t="s">
        <v>18</v>
      </c>
      <c r="E11" s="32" t="s">
        <v>19</v>
      </c>
      <c r="F11" s="30" t="s">
        <v>20</v>
      </c>
      <c r="G11" s="33" t="s">
        <v>21</v>
      </c>
      <c r="H11" s="33"/>
      <c r="I11" s="34" t="s">
        <v>22</v>
      </c>
      <c r="J11" s="30" t="s">
        <v>16</v>
      </c>
      <c r="K11" s="35" t="s">
        <v>17</v>
      </c>
      <c r="L11" s="35"/>
      <c r="M11" s="32" t="s">
        <v>18</v>
      </c>
      <c r="N11" s="32" t="s">
        <v>19</v>
      </c>
      <c r="O11" s="30" t="s">
        <v>20</v>
      </c>
      <c r="P11" s="33" t="s">
        <v>21</v>
      </c>
      <c r="Q11" s="33"/>
      <c r="R11" s="34" t="s">
        <v>22</v>
      </c>
    </row>
    <row r="12" spans="1:18" ht="25.5" customHeight="1">
      <c r="A12" s="30"/>
      <c r="B12" s="6" t="s">
        <v>23</v>
      </c>
      <c r="C12" s="6" t="s">
        <v>24</v>
      </c>
      <c r="D12" s="32"/>
      <c r="E12" s="32"/>
      <c r="F12" s="32"/>
      <c r="G12" s="5" t="s">
        <v>25</v>
      </c>
      <c r="H12" s="5" t="s">
        <v>26</v>
      </c>
      <c r="I12" s="34"/>
      <c r="J12" s="34"/>
      <c r="K12" s="6" t="s">
        <v>23</v>
      </c>
      <c r="L12" s="6" t="s">
        <v>24</v>
      </c>
      <c r="M12" s="32"/>
      <c r="N12" s="32"/>
      <c r="O12" s="32"/>
      <c r="P12" s="5" t="s">
        <v>25</v>
      </c>
      <c r="Q12" s="5" t="s">
        <v>26</v>
      </c>
      <c r="R12" s="34"/>
    </row>
    <row r="13" spans="1:18">
      <c r="A13" s="7"/>
      <c r="B13" s="7"/>
      <c r="C13" s="8"/>
      <c r="D13" s="8"/>
      <c r="E13" s="8"/>
      <c r="F13" s="8"/>
      <c r="G13" s="7"/>
      <c r="H13" s="7"/>
      <c r="I13" s="8">
        <v>1</v>
      </c>
      <c r="J13" s="7"/>
      <c r="K13" s="26" t="s">
        <v>99</v>
      </c>
      <c r="L13" s="8">
        <f t="shared" ref="L13:L30" si="0">SUM(M13:O13)</f>
        <v>78</v>
      </c>
      <c r="M13" s="8">
        <v>51</v>
      </c>
      <c r="N13" s="8">
        <v>7</v>
      </c>
      <c r="O13" s="8">
        <v>20</v>
      </c>
      <c r="P13" s="9" t="s">
        <v>28</v>
      </c>
      <c r="Q13" s="9" t="s">
        <v>29</v>
      </c>
      <c r="R13" s="8">
        <v>1</v>
      </c>
    </row>
    <row r="14" spans="1:18">
      <c r="A14" s="7"/>
      <c r="B14" s="7"/>
      <c r="C14" s="8"/>
      <c r="D14" s="8"/>
      <c r="E14" s="8"/>
      <c r="F14" s="8"/>
      <c r="G14" s="7"/>
      <c r="H14" s="7"/>
      <c r="I14" s="8">
        <v>2</v>
      </c>
      <c r="J14" s="7"/>
      <c r="K14" s="26" t="s">
        <v>66</v>
      </c>
      <c r="L14" s="8">
        <f t="shared" si="0"/>
        <v>73</v>
      </c>
      <c r="M14" s="8">
        <v>37</v>
      </c>
      <c r="N14" s="8">
        <v>16</v>
      </c>
      <c r="O14" s="8">
        <v>20</v>
      </c>
      <c r="P14" s="9" t="s">
        <v>30</v>
      </c>
      <c r="Q14" s="9" t="s">
        <v>31</v>
      </c>
      <c r="R14" s="8">
        <v>2</v>
      </c>
    </row>
    <row r="15" spans="1:18">
      <c r="A15" s="7"/>
      <c r="B15" s="7"/>
      <c r="C15" s="8"/>
      <c r="D15" s="8"/>
      <c r="E15" s="8"/>
      <c r="F15" s="8"/>
      <c r="G15" s="7"/>
      <c r="H15" s="7"/>
      <c r="I15" s="8">
        <v>3</v>
      </c>
      <c r="J15" s="7"/>
      <c r="K15" s="26" t="s">
        <v>91</v>
      </c>
      <c r="L15" s="8">
        <f t="shared" si="0"/>
        <v>85</v>
      </c>
      <c r="M15" s="8">
        <v>51</v>
      </c>
      <c r="N15" s="8">
        <v>14</v>
      </c>
      <c r="O15" s="8">
        <v>20</v>
      </c>
      <c r="P15" s="9" t="s">
        <v>33</v>
      </c>
      <c r="Q15" s="9" t="s">
        <v>34</v>
      </c>
      <c r="R15" s="8">
        <v>3</v>
      </c>
    </row>
    <row r="16" spans="1:18">
      <c r="A16" s="7"/>
      <c r="B16" s="7"/>
      <c r="C16" s="8"/>
      <c r="D16" s="8"/>
      <c r="E16" s="8"/>
      <c r="F16" s="8"/>
      <c r="G16" s="7"/>
      <c r="H16" s="7"/>
      <c r="I16" s="8">
        <v>4</v>
      </c>
      <c r="J16" s="7"/>
      <c r="K16" s="26" t="s">
        <v>47</v>
      </c>
      <c r="L16" s="8">
        <f t="shared" si="0"/>
        <v>94</v>
      </c>
      <c r="M16" s="8">
        <v>57</v>
      </c>
      <c r="N16" s="8">
        <v>17</v>
      </c>
      <c r="O16" s="8">
        <v>20</v>
      </c>
      <c r="P16" s="9" t="s">
        <v>36</v>
      </c>
      <c r="Q16" s="9" t="s">
        <v>37</v>
      </c>
      <c r="R16" s="8">
        <v>4</v>
      </c>
    </row>
    <row r="17" spans="1:18">
      <c r="A17" s="7"/>
      <c r="B17" s="7"/>
      <c r="C17" s="8"/>
      <c r="D17" s="8"/>
      <c r="E17" s="8"/>
      <c r="F17" s="8"/>
      <c r="G17" s="7"/>
      <c r="H17" s="7"/>
      <c r="I17" s="8">
        <v>5</v>
      </c>
      <c r="J17" s="7"/>
      <c r="K17" s="26" t="s">
        <v>97</v>
      </c>
      <c r="L17" s="8">
        <f t="shared" si="0"/>
        <v>89</v>
      </c>
      <c r="M17" s="8">
        <v>50</v>
      </c>
      <c r="N17" s="8">
        <v>19</v>
      </c>
      <c r="O17" s="8">
        <v>20</v>
      </c>
      <c r="P17" s="9" t="s">
        <v>39</v>
      </c>
      <c r="Q17" s="9" t="s">
        <v>40</v>
      </c>
      <c r="R17" s="8">
        <v>5</v>
      </c>
    </row>
    <row r="18" spans="1:18">
      <c r="A18" s="7"/>
      <c r="B18" s="7"/>
      <c r="C18" s="8"/>
      <c r="D18" s="8"/>
      <c r="E18" s="8"/>
      <c r="F18" s="8"/>
      <c r="G18" s="7"/>
      <c r="H18" s="7"/>
      <c r="I18" s="8">
        <v>6</v>
      </c>
      <c r="J18" s="7"/>
      <c r="K18" s="26" t="s">
        <v>35</v>
      </c>
      <c r="L18" s="8">
        <f t="shared" si="0"/>
        <v>95</v>
      </c>
      <c r="M18" s="8">
        <v>58</v>
      </c>
      <c r="N18" s="8">
        <v>17</v>
      </c>
      <c r="O18" s="8">
        <v>20</v>
      </c>
      <c r="P18" s="9" t="s">
        <v>42</v>
      </c>
      <c r="Q18" s="9" t="s">
        <v>43</v>
      </c>
      <c r="R18" s="8">
        <v>6</v>
      </c>
    </row>
    <row r="19" spans="1:18">
      <c r="A19" s="7"/>
      <c r="B19" s="7"/>
      <c r="C19" s="8"/>
      <c r="D19" s="8"/>
      <c r="E19" s="8"/>
      <c r="F19" s="8"/>
      <c r="G19" s="7"/>
      <c r="H19" s="7"/>
      <c r="I19" s="8">
        <v>7</v>
      </c>
      <c r="J19" s="7"/>
      <c r="K19" s="26" t="s">
        <v>50</v>
      </c>
      <c r="L19" s="8">
        <f t="shared" si="0"/>
        <v>86</v>
      </c>
      <c r="M19" s="8">
        <v>50</v>
      </c>
      <c r="N19" s="8">
        <v>16</v>
      </c>
      <c r="O19" s="8">
        <v>20</v>
      </c>
      <c r="P19" s="9" t="s">
        <v>45</v>
      </c>
      <c r="Q19" s="9" t="s">
        <v>46</v>
      </c>
      <c r="R19" s="8">
        <v>7</v>
      </c>
    </row>
    <row r="20" spans="1:18">
      <c r="A20" s="7"/>
      <c r="B20" s="7"/>
      <c r="C20" s="8"/>
      <c r="D20" s="8"/>
      <c r="E20" s="8"/>
      <c r="F20" s="8"/>
      <c r="G20" s="7"/>
      <c r="H20" s="7"/>
      <c r="I20" s="8">
        <v>8</v>
      </c>
      <c r="J20" s="7"/>
      <c r="K20" s="26" t="s">
        <v>47</v>
      </c>
      <c r="L20" s="8">
        <f t="shared" si="0"/>
        <v>94</v>
      </c>
      <c r="M20" s="8">
        <v>57</v>
      </c>
      <c r="N20" s="8">
        <v>17</v>
      </c>
      <c r="O20" s="8">
        <v>20</v>
      </c>
      <c r="P20" s="9" t="s">
        <v>48</v>
      </c>
      <c r="Q20" s="9" t="s">
        <v>49</v>
      </c>
      <c r="R20" s="8">
        <v>8</v>
      </c>
    </row>
    <row r="21" spans="1:18">
      <c r="A21" s="7"/>
      <c r="B21" s="7"/>
      <c r="C21" s="8"/>
      <c r="D21" s="8"/>
      <c r="E21" s="8"/>
      <c r="F21" s="8"/>
      <c r="G21" s="7"/>
      <c r="H21" s="7"/>
      <c r="I21" s="8">
        <v>9</v>
      </c>
      <c r="J21" s="7"/>
      <c r="K21" s="26" t="s">
        <v>97</v>
      </c>
      <c r="L21" s="8">
        <f t="shared" si="0"/>
        <v>89</v>
      </c>
      <c r="M21" s="8">
        <v>56</v>
      </c>
      <c r="N21" s="8">
        <v>13</v>
      </c>
      <c r="O21" s="8">
        <v>20</v>
      </c>
      <c r="P21" s="9" t="s">
        <v>51</v>
      </c>
      <c r="Q21" s="9" t="s">
        <v>52</v>
      </c>
      <c r="R21" s="8">
        <v>9</v>
      </c>
    </row>
    <row r="22" spans="1:18">
      <c r="A22" s="7"/>
      <c r="B22" s="7"/>
      <c r="C22" s="8"/>
      <c r="D22" s="8"/>
      <c r="E22" s="8"/>
      <c r="F22" s="8"/>
      <c r="G22" s="7"/>
      <c r="H22" s="7"/>
      <c r="I22" s="8">
        <v>10</v>
      </c>
      <c r="J22" s="7"/>
      <c r="K22" s="26" t="s">
        <v>63</v>
      </c>
      <c r="L22" s="8">
        <f t="shared" si="0"/>
        <v>82</v>
      </c>
      <c r="M22" s="8">
        <v>50</v>
      </c>
      <c r="N22" s="8">
        <v>12</v>
      </c>
      <c r="O22" s="8">
        <v>20</v>
      </c>
      <c r="P22" s="9" t="s">
        <v>54</v>
      </c>
      <c r="Q22" s="9" t="s">
        <v>55</v>
      </c>
      <c r="R22" s="8">
        <v>10</v>
      </c>
    </row>
    <row r="23" spans="1:18">
      <c r="A23" s="7"/>
      <c r="B23" s="7"/>
      <c r="C23" s="8"/>
      <c r="D23" s="8"/>
      <c r="E23" s="8"/>
      <c r="F23" s="8"/>
      <c r="G23" s="7"/>
      <c r="H23" s="7"/>
      <c r="I23" s="8">
        <v>11</v>
      </c>
      <c r="J23" s="7"/>
      <c r="K23" s="26" t="s">
        <v>118</v>
      </c>
      <c r="L23" s="8">
        <f t="shared" si="0"/>
        <v>72</v>
      </c>
      <c r="M23" s="8">
        <v>38</v>
      </c>
      <c r="N23" s="8">
        <v>14</v>
      </c>
      <c r="O23" s="8">
        <v>20</v>
      </c>
      <c r="P23" s="9" t="s">
        <v>56</v>
      </c>
      <c r="Q23" s="9" t="s">
        <v>57</v>
      </c>
      <c r="R23" s="8">
        <v>11</v>
      </c>
    </row>
    <row r="24" spans="1:18">
      <c r="A24" s="7"/>
      <c r="B24" s="7"/>
      <c r="C24" s="8"/>
      <c r="D24" s="8"/>
      <c r="E24" s="8"/>
      <c r="F24" s="8"/>
      <c r="G24" s="7"/>
      <c r="H24" s="7"/>
      <c r="I24" s="8">
        <v>12</v>
      </c>
      <c r="J24" s="7"/>
      <c r="K24" s="26" t="s">
        <v>41</v>
      </c>
      <c r="L24" s="8">
        <f t="shared" si="0"/>
        <v>87</v>
      </c>
      <c r="M24" s="8">
        <v>56</v>
      </c>
      <c r="N24" s="8">
        <v>11</v>
      </c>
      <c r="O24" s="8">
        <v>20</v>
      </c>
      <c r="P24" s="9" t="s">
        <v>58</v>
      </c>
      <c r="Q24" s="9" t="s">
        <v>59</v>
      </c>
      <c r="R24" s="8">
        <v>12</v>
      </c>
    </row>
    <row r="25" spans="1:18">
      <c r="A25" s="7"/>
      <c r="B25" s="7"/>
      <c r="C25" s="8"/>
      <c r="D25" s="8"/>
      <c r="E25" s="8"/>
      <c r="F25" s="8"/>
      <c r="G25" s="7"/>
      <c r="H25" s="7"/>
      <c r="I25" s="8">
        <v>13</v>
      </c>
      <c r="J25" s="7"/>
      <c r="K25" s="26" t="s">
        <v>114</v>
      </c>
      <c r="L25" s="8">
        <f t="shared" si="0"/>
        <v>97</v>
      </c>
      <c r="M25" s="8">
        <v>59</v>
      </c>
      <c r="N25" s="8">
        <v>18</v>
      </c>
      <c r="O25" s="8">
        <v>20</v>
      </c>
      <c r="P25" s="9" t="s">
        <v>61</v>
      </c>
      <c r="Q25" s="9" t="s">
        <v>62</v>
      </c>
      <c r="R25" s="8">
        <v>13</v>
      </c>
    </row>
    <row r="26" spans="1:18">
      <c r="A26" s="7"/>
      <c r="B26" s="7"/>
      <c r="C26" s="8"/>
      <c r="D26" s="8"/>
      <c r="E26" s="8"/>
      <c r="F26" s="8"/>
      <c r="G26" s="7"/>
      <c r="H26" s="7"/>
      <c r="I26" s="8">
        <v>14</v>
      </c>
      <c r="J26" s="7"/>
      <c r="K26" s="26" t="s">
        <v>100</v>
      </c>
      <c r="L26" s="8">
        <f t="shared" si="0"/>
        <v>93</v>
      </c>
      <c r="M26" s="8">
        <v>57</v>
      </c>
      <c r="N26" s="8">
        <v>16</v>
      </c>
      <c r="O26" s="8">
        <v>20</v>
      </c>
      <c r="P26" s="9" t="s">
        <v>64</v>
      </c>
      <c r="Q26" s="9" t="s">
        <v>65</v>
      </c>
      <c r="R26" s="8">
        <v>14</v>
      </c>
    </row>
    <row r="27" spans="1:18">
      <c r="A27" s="7"/>
      <c r="B27" s="7"/>
      <c r="C27" s="8"/>
      <c r="D27" s="8"/>
      <c r="E27" s="8"/>
      <c r="F27" s="8"/>
      <c r="G27" s="7"/>
      <c r="H27" s="7"/>
      <c r="I27" s="8">
        <v>15</v>
      </c>
      <c r="J27" s="7"/>
      <c r="K27" s="26" t="s">
        <v>27</v>
      </c>
      <c r="L27" s="8">
        <f t="shared" si="0"/>
        <v>80</v>
      </c>
      <c r="M27" s="8">
        <v>45</v>
      </c>
      <c r="N27" s="8">
        <v>15</v>
      </c>
      <c r="O27" s="8">
        <v>20</v>
      </c>
      <c r="P27" s="9" t="s">
        <v>54</v>
      </c>
      <c r="Q27" s="9" t="s">
        <v>67</v>
      </c>
      <c r="R27" s="8">
        <v>15</v>
      </c>
    </row>
    <row r="28" spans="1:18">
      <c r="A28" s="7"/>
      <c r="B28" s="7"/>
      <c r="C28" s="8"/>
      <c r="D28" s="8"/>
      <c r="E28" s="8"/>
      <c r="F28" s="8"/>
      <c r="G28" s="7"/>
      <c r="H28" s="7"/>
      <c r="I28" s="8">
        <v>16</v>
      </c>
      <c r="J28" s="7"/>
      <c r="K28" s="26" t="s">
        <v>27</v>
      </c>
      <c r="L28" s="8">
        <f t="shared" si="0"/>
        <v>80</v>
      </c>
      <c r="M28" s="8">
        <v>46</v>
      </c>
      <c r="N28" s="8">
        <v>14</v>
      </c>
      <c r="O28" s="8">
        <v>20</v>
      </c>
      <c r="P28" s="9" t="s">
        <v>68</v>
      </c>
      <c r="Q28" s="9" t="s">
        <v>69</v>
      </c>
      <c r="R28" s="8">
        <v>16</v>
      </c>
    </row>
    <row r="29" spans="1:18">
      <c r="A29" s="7"/>
      <c r="B29" s="7"/>
      <c r="C29" s="8"/>
      <c r="D29" s="8"/>
      <c r="E29" s="8"/>
      <c r="F29" s="8"/>
      <c r="G29" s="7"/>
      <c r="H29" s="7"/>
      <c r="I29" s="8">
        <v>17</v>
      </c>
      <c r="J29" s="7"/>
      <c r="K29" s="26" t="s">
        <v>44</v>
      </c>
      <c r="L29" s="8">
        <f t="shared" si="0"/>
        <v>75</v>
      </c>
      <c r="M29" s="8">
        <v>42</v>
      </c>
      <c r="N29" s="8">
        <v>13</v>
      </c>
      <c r="O29" s="8">
        <v>20</v>
      </c>
      <c r="P29" s="9" t="s">
        <v>70</v>
      </c>
      <c r="Q29" s="9" t="s">
        <v>71</v>
      </c>
      <c r="R29" s="8">
        <v>17</v>
      </c>
    </row>
    <row r="30" spans="1:18">
      <c r="A30" s="7"/>
      <c r="B30" s="7"/>
      <c r="C30" s="8"/>
      <c r="D30" s="8"/>
      <c r="E30" s="8"/>
      <c r="F30" s="8"/>
      <c r="G30" s="7"/>
      <c r="H30" s="7"/>
      <c r="I30" s="8">
        <v>18</v>
      </c>
      <c r="J30" s="7"/>
      <c r="K30" s="26" t="s">
        <v>32</v>
      </c>
      <c r="L30" s="8">
        <f t="shared" si="0"/>
        <v>92</v>
      </c>
      <c r="M30" s="8">
        <v>58</v>
      </c>
      <c r="N30" s="8">
        <v>14</v>
      </c>
      <c r="O30" s="8">
        <v>20</v>
      </c>
      <c r="P30" s="9" t="s">
        <v>72</v>
      </c>
      <c r="Q30" s="9" t="s">
        <v>73</v>
      </c>
      <c r="R30" s="8">
        <v>18</v>
      </c>
    </row>
    <row r="31" spans="1:18">
      <c r="A31" s="7"/>
      <c r="B31" s="7"/>
      <c r="C31" s="8"/>
      <c r="D31" s="8"/>
      <c r="E31" s="8"/>
      <c r="F31" s="8"/>
      <c r="G31" s="7"/>
      <c r="H31" s="7"/>
      <c r="I31" s="8">
        <v>66</v>
      </c>
      <c r="J31" s="7"/>
      <c r="K31" s="7"/>
      <c r="L31" s="8">
        <v>0</v>
      </c>
      <c r="M31" s="8"/>
      <c r="N31" s="8"/>
      <c r="O31" s="8"/>
      <c r="P31" s="9"/>
      <c r="Q31" s="9"/>
      <c r="R31" s="8">
        <v>19</v>
      </c>
    </row>
    <row r="32" spans="1:18">
      <c r="A32" s="7"/>
      <c r="B32" s="7"/>
      <c r="C32" s="8"/>
      <c r="D32" s="8"/>
      <c r="E32" s="8"/>
      <c r="F32" s="8"/>
      <c r="G32" s="7"/>
      <c r="H32" s="7"/>
      <c r="I32" s="8">
        <v>67</v>
      </c>
      <c r="J32" s="7"/>
      <c r="K32" s="7"/>
      <c r="L32" s="8"/>
      <c r="M32" s="8"/>
      <c r="N32" s="8"/>
      <c r="O32" s="8"/>
      <c r="P32" s="9"/>
      <c r="Q32" s="9"/>
      <c r="R32" s="8">
        <v>29</v>
      </c>
    </row>
    <row r="33" spans="1:18" ht="18.5">
      <c r="A33" s="7"/>
      <c r="B33" s="7"/>
      <c r="C33" s="8"/>
      <c r="D33" s="8"/>
      <c r="E33" s="8"/>
      <c r="F33" s="8"/>
      <c r="G33" s="7"/>
      <c r="H33" s="7"/>
      <c r="I33" s="8">
        <v>68</v>
      </c>
      <c r="J33" s="7"/>
      <c r="K33" s="7"/>
      <c r="L33" s="8"/>
      <c r="M33" s="8"/>
      <c r="N33" s="8"/>
      <c r="O33" s="8"/>
      <c r="P33" s="10"/>
      <c r="Q33" s="10"/>
      <c r="R33" s="8">
        <v>30</v>
      </c>
    </row>
    <row r="34" spans="1:18" ht="18.5">
      <c r="A34" s="7"/>
      <c r="B34" s="7"/>
      <c r="C34" s="8"/>
      <c r="D34" s="8"/>
      <c r="E34" s="8"/>
      <c r="F34" s="8"/>
      <c r="G34" s="7"/>
      <c r="H34" s="7"/>
      <c r="I34" s="8">
        <v>69</v>
      </c>
      <c r="J34" s="7"/>
      <c r="K34" s="7"/>
      <c r="L34" s="8"/>
      <c r="M34" s="8"/>
      <c r="N34" s="8"/>
      <c r="O34" s="8"/>
      <c r="P34" s="10"/>
      <c r="Q34" s="10"/>
      <c r="R34" s="8">
        <v>31</v>
      </c>
    </row>
    <row r="35" spans="1:18" ht="18.5">
      <c r="A35" s="7"/>
      <c r="B35" s="7"/>
      <c r="C35" s="8"/>
      <c r="D35" s="8"/>
      <c r="E35" s="8"/>
      <c r="F35" s="8"/>
      <c r="G35" s="7"/>
      <c r="H35" s="7"/>
      <c r="I35" s="8">
        <v>70</v>
      </c>
      <c r="J35" s="7"/>
      <c r="K35" s="7"/>
      <c r="L35" s="8"/>
      <c r="M35" s="8"/>
      <c r="N35" s="8"/>
      <c r="O35" s="8"/>
      <c r="P35" s="10"/>
      <c r="Q35" s="10"/>
      <c r="R35" s="8">
        <v>32</v>
      </c>
    </row>
    <row r="36" spans="1:18" ht="18.5">
      <c r="A36" s="7"/>
      <c r="B36" s="7"/>
      <c r="C36" s="8"/>
      <c r="D36" s="8"/>
      <c r="E36" s="8"/>
      <c r="F36" s="8"/>
      <c r="G36" s="7"/>
      <c r="H36" s="7"/>
      <c r="I36" s="8">
        <v>71</v>
      </c>
      <c r="J36" s="7"/>
      <c r="K36" s="7"/>
      <c r="L36" s="8"/>
      <c r="M36" s="8"/>
      <c r="N36" s="8"/>
      <c r="O36" s="8"/>
      <c r="P36" s="10"/>
      <c r="Q36" s="10"/>
      <c r="R36" s="8">
        <v>33</v>
      </c>
    </row>
    <row r="37" spans="1:18">
      <c r="A37" s="7"/>
      <c r="B37" s="7"/>
      <c r="C37" s="8"/>
      <c r="D37" s="8"/>
      <c r="E37" s="8"/>
      <c r="F37" s="8"/>
      <c r="G37" s="7"/>
      <c r="H37" s="7"/>
      <c r="I37" s="8">
        <v>72</v>
      </c>
      <c r="J37" s="7"/>
      <c r="K37" s="7"/>
      <c r="L37" s="8"/>
      <c r="M37" s="8"/>
      <c r="N37" s="8"/>
      <c r="O37" s="8"/>
      <c r="P37" s="9"/>
      <c r="Q37" s="9"/>
      <c r="R37" s="8">
        <v>34</v>
      </c>
    </row>
    <row r="38" spans="1:18">
      <c r="A38" s="7"/>
      <c r="B38" s="7"/>
      <c r="C38" s="8"/>
      <c r="D38" s="8"/>
      <c r="E38" s="8"/>
      <c r="F38" s="8"/>
      <c r="G38" s="7"/>
      <c r="H38" s="7"/>
      <c r="I38" s="8">
        <v>73</v>
      </c>
      <c r="J38" s="7"/>
      <c r="K38" s="7"/>
      <c r="L38" s="8"/>
      <c r="M38" s="8"/>
      <c r="N38" s="8"/>
      <c r="O38" s="8"/>
      <c r="P38" s="9"/>
      <c r="Q38" s="9"/>
      <c r="R38" s="8">
        <v>35</v>
      </c>
    </row>
    <row r="39" spans="1:18">
      <c r="A39" s="7"/>
      <c r="B39" s="7"/>
      <c r="C39" s="8"/>
      <c r="D39" s="8"/>
      <c r="E39" s="8"/>
      <c r="F39" s="8"/>
      <c r="G39" s="7"/>
      <c r="H39" s="7"/>
      <c r="I39" s="8">
        <v>74</v>
      </c>
      <c r="J39" s="7"/>
      <c r="K39" s="7"/>
      <c r="L39" s="8"/>
      <c r="M39" s="8"/>
      <c r="N39" s="8"/>
      <c r="O39" s="8"/>
      <c r="P39" s="9"/>
      <c r="Q39" s="9"/>
      <c r="R39" s="8">
        <v>36</v>
      </c>
    </row>
    <row r="40" spans="1:18">
      <c r="A40" s="7"/>
      <c r="B40" s="7"/>
      <c r="C40" s="8"/>
      <c r="D40" s="8"/>
      <c r="E40" s="8"/>
      <c r="F40" s="8"/>
      <c r="G40" s="7"/>
      <c r="H40" s="7"/>
      <c r="I40" s="8">
        <v>75</v>
      </c>
      <c r="J40" s="7"/>
      <c r="K40" s="7"/>
      <c r="L40" s="8"/>
      <c r="M40" s="8"/>
      <c r="N40" s="8"/>
      <c r="O40" s="8"/>
      <c r="P40" s="9"/>
      <c r="Q40" s="9"/>
      <c r="R40" s="8">
        <v>37</v>
      </c>
    </row>
    <row r="41" spans="1:18">
      <c r="A41" s="7"/>
      <c r="B41" s="7"/>
      <c r="C41" s="8"/>
      <c r="D41" s="8"/>
      <c r="E41" s="8"/>
      <c r="F41" s="8"/>
      <c r="G41" s="7"/>
      <c r="H41" s="7"/>
      <c r="I41" s="8">
        <v>76</v>
      </c>
      <c r="J41" s="7"/>
      <c r="K41" s="7"/>
      <c r="L41" s="8"/>
      <c r="M41" s="8"/>
      <c r="N41" s="8"/>
      <c r="O41" s="8"/>
      <c r="P41" s="9"/>
      <c r="Q41" s="9"/>
      <c r="R41" s="8">
        <v>38</v>
      </c>
    </row>
    <row r="42" spans="1:18">
      <c r="A42" s="44" t="s">
        <v>74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</row>
    <row r="43" spans="1:18">
      <c r="E43" s="11" t="s">
        <v>75</v>
      </c>
      <c r="M43" s="11" t="s">
        <v>76</v>
      </c>
    </row>
  </sheetData>
  <mergeCells count="30">
    <mergeCell ref="A1:R1"/>
    <mergeCell ref="A2:R2"/>
    <mergeCell ref="A3:R3"/>
    <mergeCell ref="A4:R4"/>
    <mergeCell ref="A5:R5"/>
    <mergeCell ref="A6:R6"/>
    <mergeCell ref="B7:D7"/>
    <mergeCell ref="G7:I7"/>
    <mergeCell ref="L7:O7"/>
    <mergeCell ref="A9:D9"/>
    <mergeCell ref="E9:F9"/>
    <mergeCell ref="H9:J9"/>
    <mergeCell ref="L9:O9"/>
    <mergeCell ref="P9:Q9"/>
    <mergeCell ref="A42:R42"/>
    <mergeCell ref="A10:R10"/>
    <mergeCell ref="A11:A12"/>
    <mergeCell ref="B11:C11"/>
    <mergeCell ref="D11:D12"/>
    <mergeCell ref="E11:E12"/>
    <mergeCell ref="F11:F12"/>
    <mergeCell ref="G11:H11"/>
    <mergeCell ref="I11:I12"/>
    <mergeCell ref="J11:J12"/>
    <mergeCell ref="K11:L11"/>
    <mergeCell ref="M11:M12"/>
    <mergeCell ref="N11:N12"/>
    <mergeCell ref="O11:O12"/>
    <mergeCell ref="P11:Q11"/>
    <mergeCell ref="R11:R12"/>
  </mergeCells>
  <pageMargins left="0.26041666666666702" right="0.40625" top="0.15625" bottom="0.114583333333333" header="0.511811023622047" footer="0.511811023622047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3"/>
  <sheetViews>
    <sheetView topLeftCell="A11" zoomScaleNormal="100" workbookViewId="0">
      <selection activeCell="N32" sqref="N32"/>
    </sheetView>
  </sheetViews>
  <sheetFormatPr defaultColWidth="9.1796875" defaultRowHeight="14.5"/>
  <cols>
    <col min="1" max="1" width="3.7265625" customWidth="1"/>
    <col min="2" max="3" width="4.7265625" customWidth="1"/>
    <col min="4" max="6" width="4.1796875" customWidth="1"/>
    <col min="7" max="8" width="9.7265625" customWidth="1"/>
    <col min="9" max="9" width="3.54296875" style="1" customWidth="1"/>
    <col min="10" max="10" width="3.7265625" customWidth="1"/>
    <col min="11" max="15" width="4.7265625" customWidth="1"/>
    <col min="16" max="17" width="10.453125" customWidth="1"/>
    <col min="18" max="18" width="3.7265625" style="1" customWidth="1"/>
  </cols>
  <sheetData>
    <row r="1" spans="1:18" ht="13.5" customHeight="1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</row>
    <row r="2" spans="1:18" ht="13.5" customHeight="1">
      <c r="A2" s="29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</row>
    <row r="3" spans="1:18" ht="13.5" customHeight="1">
      <c r="A3" s="29" t="s">
        <v>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</row>
    <row r="4" spans="1:18" ht="13.5" customHeight="1">
      <c r="A4" s="29" t="s">
        <v>3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</row>
    <row r="5" spans="1:18" ht="13.5" customHeight="1">
      <c r="A5" s="29" t="s">
        <v>4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</row>
    <row r="6" spans="1:18" ht="13.5" customHeight="1">
      <c r="A6" s="36" t="s">
        <v>5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</row>
    <row r="7" spans="1:18" ht="15.75" customHeight="1">
      <c r="B7" s="37" t="s">
        <v>6</v>
      </c>
      <c r="C7" s="37"/>
      <c r="D7" s="37"/>
      <c r="G7" s="38" t="s">
        <v>7</v>
      </c>
      <c r="H7" s="38"/>
      <c r="I7" s="38"/>
      <c r="J7" s="2"/>
      <c r="K7" s="1"/>
      <c r="L7" s="39" t="s">
        <v>8</v>
      </c>
      <c r="M7" s="39"/>
      <c r="N7" s="39"/>
      <c r="O7" s="39"/>
      <c r="P7" s="3" t="s">
        <v>9</v>
      </c>
      <c r="Q7" s="4" t="s">
        <v>10</v>
      </c>
    </row>
    <row r="8" spans="1:18" ht="6.75" customHeight="1"/>
    <row r="9" spans="1:18">
      <c r="A9" s="40" t="s">
        <v>125</v>
      </c>
      <c r="B9" s="40"/>
      <c r="C9" s="40"/>
      <c r="D9" s="40"/>
      <c r="E9" s="41" t="s">
        <v>12</v>
      </c>
      <c r="F9" s="41"/>
      <c r="H9" s="41" t="s">
        <v>13</v>
      </c>
      <c r="I9" s="41"/>
      <c r="J9" s="41"/>
      <c r="L9" s="42" t="s">
        <v>126</v>
      </c>
      <c r="M9" s="42"/>
      <c r="N9" s="42"/>
      <c r="O9" s="42"/>
      <c r="P9" s="43" t="s">
        <v>127</v>
      </c>
      <c r="Q9" s="43"/>
    </row>
    <row r="10" spans="1:18" ht="7.5" customHeight="1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</row>
    <row r="11" spans="1:18" ht="18" customHeight="1">
      <c r="A11" s="30" t="s">
        <v>16</v>
      </c>
      <c r="B11" s="31" t="s">
        <v>17</v>
      </c>
      <c r="C11" s="31"/>
      <c r="D11" s="32" t="s">
        <v>18</v>
      </c>
      <c r="E11" s="32" t="s">
        <v>19</v>
      </c>
      <c r="F11" s="30" t="s">
        <v>20</v>
      </c>
      <c r="G11" s="33" t="s">
        <v>21</v>
      </c>
      <c r="H11" s="33"/>
      <c r="I11" s="34" t="s">
        <v>22</v>
      </c>
      <c r="J11" s="30" t="s">
        <v>16</v>
      </c>
      <c r="K11" s="35" t="s">
        <v>17</v>
      </c>
      <c r="L11" s="35"/>
      <c r="M11" s="32" t="s">
        <v>18</v>
      </c>
      <c r="N11" s="32" t="s">
        <v>19</v>
      </c>
      <c r="O11" s="30" t="s">
        <v>20</v>
      </c>
      <c r="P11" s="33" t="s">
        <v>21</v>
      </c>
      <c r="Q11" s="33"/>
      <c r="R11" s="34" t="s">
        <v>22</v>
      </c>
    </row>
    <row r="12" spans="1:18" ht="25.5" customHeight="1">
      <c r="A12" s="30"/>
      <c r="B12" s="6" t="s">
        <v>23</v>
      </c>
      <c r="C12" s="6" t="s">
        <v>24</v>
      </c>
      <c r="D12" s="32"/>
      <c r="E12" s="32"/>
      <c r="F12" s="32"/>
      <c r="G12" s="5" t="s">
        <v>25</v>
      </c>
      <c r="H12" s="5" t="s">
        <v>26</v>
      </c>
      <c r="I12" s="34"/>
      <c r="J12" s="34"/>
      <c r="K12" s="6" t="s">
        <v>23</v>
      </c>
      <c r="L12" s="6" t="s">
        <v>24</v>
      </c>
      <c r="M12" s="32"/>
      <c r="N12" s="32"/>
      <c r="O12" s="32"/>
      <c r="P12" s="5" t="s">
        <v>25</v>
      </c>
      <c r="Q12" s="5" t="s">
        <v>26</v>
      </c>
      <c r="R12" s="34"/>
    </row>
    <row r="13" spans="1:18">
      <c r="A13" s="7"/>
      <c r="B13" s="7"/>
      <c r="C13" s="8"/>
      <c r="D13" s="8"/>
      <c r="E13" s="8"/>
      <c r="F13" s="8"/>
      <c r="G13" s="7"/>
      <c r="H13" s="7"/>
      <c r="I13" s="8">
        <v>1</v>
      </c>
      <c r="J13" s="7"/>
      <c r="K13" s="26" t="s">
        <v>84</v>
      </c>
      <c r="L13" s="8">
        <f t="shared" ref="L13:L30" si="0">SUM(M13:O13)</f>
        <v>84</v>
      </c>
      <c r="M13" s="8">
        <v>46</v>
      </c>
      <c r="N13" s="8">
        <v>18</v>
      </c>
      <c r="O13" s="8">
        <v>20</v>
      </c>
      <c r="P13" s="9" t="s">
        <v>28</v>
      </c>
      <c r="Q13" s="9" t="s">
        <v>29</v>
      </c>
      <c r="R13" s="8">
        <v>1</v>
      </c>
    </row>
    <row r="14" spans="1:18">
      <c r="A14" s="7"/>
      <c r="B14" s="7"/>
      <c r="C14" s="8"/>
      <c r="D14" s="8"/>
      <c r="E14" s="8"/>
      <c r="F14" s="8"/>
      <c r="G14" s="7"/>
      <c r="H14" s="7"/>
      <c r="I14" s="8">
        <v>2</v>
      </c>
      <c r="J14" s="7"/>
      <c r="K14" s="26" t="s">
        <v>100</v>
      </c>
      <c r="L14" s="8">
        <f t="shared" si="0"/>
        <v>93</v>
      </c>
      <c r="M14" s="8">
        <v>57</v>
      </c>
      <c r="N14" s="8">
        <v>16</v>
      </c>
      <c r="O14" s="8">
        <v>20</v>
      </c>
      <c r="P14" s="9" t="s">
        <v>30</v>
      </c>
      <c r="Q14" s="9" t="s">
        <v>31</v>
      </c>
      <c r="R14" s="8">
        <v>2</v>
      </c>
    </row>
    <row r="15" spans="1:18" ht="15" customHeight="1">
      <c r="A15" s="7"/>
      <c r="B15" s="7"/>
      <c r="C15" s="8"/>
      <c r="D15" s="8"/>
      <c r="E15" s="8"/>
      <c r="F15" s="8"/>
      <c r="G15" s="7"/>
      <c r="H15" s="7"/>
      <c r="I15" s="8">
        <v>3</v>
      </c>
      <c r="J15" s="7"/>
      <c r="K15" s="26" t="s">
        <v>83</v>
      </c>
      <c r="L15" s="8">
        <f t="shared" si="0"/>
        <v>77</v>
      </c>
      <c r="M15" s="8">
        <v>37</v>
      </c>
      <c r="N15" s="8">
        <v>20</v>
      </c>
      <c r="O15" s="8">
        <v>20</v>
      </c>
      <c r="P15" s="9" t="s">
        <v>33</v>
      </c>
      <c r="Q15" s="9" t="s">
        <v>34</v>
      </c>
      <c r="R15" s="8">
        <v>3</v>
      </c>
    </row>
    <row r="16" spans="1:18">
      <c r="A16" s="7"/>
      <c r="B16" s="7"/>
      <c r="C16" s="8"/>
      <c r="D16" s="8"/>
      <c r="E16" s="8"/>
      <c r="F16" s="8"/>
      <c r="G16" s="7"/>
      <c r="H16" s="7"/>
      <c r="I16" s="8">
        <v>4</v>
      </c>
      <c r="J16" s="7"/>
      <c r="K16" s="26" t="s">
        <v>35</v>
      </c>
      <c r="L16" s="8">
        <f t="shared" si="0"/>
        <v>95</v>
      </c>
      <c r="M16" s="8">
        <v>57</v>
      </c>
      <c r="N16" s="8">
        <v>18</v>
      </c>
      <c r="O16" s="8">
        <v>20</v>
      </c>
      <c r="P16" s="9" t="s">
        <v>36</v>
      </c>
      <c r="Q16" s="9" t="s">
        <v>37</v>
      </c>
      <c r="R16" s="8">
        <v>4</v>
      </c>
    </row>
    <row r="17" spans="1:18">
      <c r="A17" s="7"/>
      <c r="B17" s="7"/>
      <c r="C17" s="8"/>
      <c r="D17" s="8"/>
      <c r="E17" s="8"/>
      <c r="F17" s="8"/>
      <c r="G17" s="7"/>
      <c r="H17" s="7"/>
      <c r="I17" s="8">
        <v>5</v>
      </c>
      <c r="J17" s="7"/>
      <c r="K17" s="26" t="s">
        <v>89</v>
      </c>
      <c r="L17" s="8">
        <f t="shared" si="0"/>
        <v>83</v>
      </c>
      <c r="M17" s="8">
        <v>44</v>
      </c>
      <c r="N17" s="8">
        <v>19</v>
      </c>
      <c r="O17" s="8">
        <v>20</v>
      </c>
      <c r="P17" s="9" t="s">
        <v>39</v>
      </c>
      <c r="Q17" s="9" t="s">
        <v>40</v>
      </c>
      <c r="R17" s="8">
        <v>5</v>
      </c>
    </row>
    <row r="18" spans="1:18">
      <c r="A18" s="7"/>
      <c r="B18" s="7"/>
      <c r="C18" s="8"/>
      <c r="D18" s="8"/>
      <c r="E18" s="8"/>
      <c r="F18" s="8"/>
      <c r="G18" s="7"/>
      <c r="H18" s="7"/>
      <c r="I18" s="8">
        <v>6</v>
      </c>
      <c r="J18" s="7"/>
      <c r="K18" s="26" t="s">
        <v>32</v>
      </c>
      <c r="L18" s="8">
        <f t="shared" si="0"/>
        <v>92</v>
      </c>
      <c r="M18" s="8">
        <v>56</v>
      </c>
      <c r="N18" s="8">
        <v>16</v>
      </c>
      <c r="O18" s="8">
        <v>20</v>
      </c>
      <c r="P18" s="9" t="s">
        <v>42</v>
      </c>
      <c r="Q18" s="9" t="s">
        <v>43</v>
      </c>
      <c r="R18" s="8">
        <v>6</v>
      </c>
    </row>
    <row r="19" spans="1:18" ht="15" customHeight="1">
      <c r="A19" s="7"/>
      <c r="B19" s="7"/>
      <c r="C19" s="8"/>
      <c r="D19" s="8"/>
      <c r="E19" s="8"/>
      <c r="F19" s="8"/>
      <c r="G19" s="7"/>
      <c r="H19" s="7"/>
      <c r="I19" s="8">
        <v>7</v>
      </c>
      <c r="J19" s="7"/>
      <c r="K19" s="26" t="s">
        <v>66</v>
      </c>
      <c r="L19" s="8">
        <f t="shared" si="0"/>
        <v>73</v>
      </c>
      <c r="M19" s="8">
        <v>34</v>
      </c>
      <c r="N19" s="8">
        <v>19</v>
      </c>
      <c r="O19" s="8">
        <v>20</v>
      </c>
      <c r="P19" s="9" t="s">
        <v>45</v>
      </c>
      <c r="Q19" s="9" t="s">
        <v>46</v>
      </c>
      <c r="R19" s="8">
        <v>7</v>
      </c>
    </row>
    <row r="20" spans="1:18">
      <c r="A20" s="7"/>
      <c r="B20" s="7"/>
      <c r="C20" s="8"/>
      <c r="D20" s="8"/>
      <c r="E20" s="8"/>
      <c r="F20" s="8"/>
      <c r="G20" s="7"/>
      <c r="H20" s="7"/>
      <c r="I20" s="8">
        <v>8</v>
      </c>
      <c r="J20" s="7"/>
      <c r="K20" s="26" t="s">
        <v>35</v>
      </c>
      <c r="L20" s="8">
        <f t="shared" si="0"/>
        <v>95</v>
      </c>
      <c r="M20" s="8">
        <v>59</v>
      </c>
      <c r="N20" s="8">
        <v>16</v>
      </c>
      <c r="O20" s="8">
        <v>20</v>
      </c>
      <c r="P20" s="9" t="s">
        <v>48</v>
      </c>
      <c r="Q20" s="9" t="s">
        <v>49</v>
      </c>
      <c r="R20" s="8">
        <v>8</v>
      </c>
    </row>
    <row r="21" spans="1:18">
      <c r="A21" s="7"/>
      <c r="B21" s="7"/>
      <c r="C21" s="8"/>
      <c r="D21" s="8"/>
      <c r="E21" s="8"/>
      <c r="F21" s="8"/>
      <c r="G21" s="7"/>
      <c r="H21" s="7"/>
      <c r="I21" s="8">
        <v>9</v>
      </c>
      <c r="J21" s="7"/>
      <c r="K21" s="26" t="s">
        <v>99</v>
      </c>
      <c r="L21" s="8">
        <f t="shared" si="0"/>
        <v>78</v>
      </c>
      <c r="M21" s="8">
        <v>51</v>
      </c>
      <c r="N21" s="8">
        <v>7</v>
      </c>
      <c r="O21" s="8">
        <v>20</v>
      </c>
      <c r="P21" s="9" t="s">
        <v>51</v>
      </c>
      <c r="Q21" s="9" t="s">
        <v>52</v>
      </c>
      <c r="R21" s="8">
        <v>9</v>
      </c>
    </row>
    <row r="22" spans="1:18">
      <c r="A22" s="7"/>
      <c r="B22" s="7"/>
      <c r="C22" s="8"/>
      <c r="D22" s="8"/>
      <c r="E22" s="8"/>
      <c r="F22" s="8"/>
      <c r="G22" s="7"/>
      <c r="H22" s="7"/>
      <c r="I22" s="8">
        <v>10</v>
      </c>
      <c r="J22" s="7"/>
      <c r="K22" s="26" t="s">
        <v>91</v>
      </c>
      <c r="L22" s="8">
        <f t="shared" si="0"/>
        <v>85</v>
      </c>
      <c r="M22" s="8">
        <v>58</v>
      </c>
      <c r="N22" s="8">
        <v>7</v>
      </c>
      <c r="O22" s="8">
        <v>20</v>
      </c>
      <c r="P22" s="9" t="s">
        <v>54</v>
      </c>
      <c r="Q22" s="9" t="s">
        <v>55</v>
      </c>
      <c r="R22" s="8">
        <v>10</v>
      </c>
    </row>
    <row r="23" spans="1:18" ht="15" customHeight="1">
      <c r="A23" s="7"/>
      <c r="B23" s="7"/>
      <c r="C23" s="8"/>
      <c r="D23" s="8"/>
      <c r="E23" s="8"/>
      <c r="F23" s="8"/>
      <c r="G23" s="7"/>
      <c r="H23" s="7"/>
      <c r="I23" s="8">
        <v>11</v>
      </c>
      <c r="J23" s="7"/>
      <c r="K23" s="26" t="s">
        <v>32</v>
      </c>
      <c r="L23" s="8">
        <f t="shared" si="0"/>
        <v>92</v>
      </c>
      <c r="M23" s="8">
        <v>56</v>
      </c>
      <c r="N23" s="8">
        <v>16</v>
      </c>
      <c r="O23" s="8">
        <v>20</v>
      </c>
      <c r="P23" s="9" t="s">
        <v>56</v>
      </c>
      <c r="Q23" s="9" t="s">
        <v>57</v>
      </c>
      <c r="R23" s="8">
        <v>11</v>
      </c>
    </row>
    <row r="24" spans="1:18">
      <c r="A24" s="7"/>
      <c r="B24" s="7"/>
      <c r="C24" s="8"/>
      <c r="D24" s="8"/>
      <c r="E24" s="8"/>
      <c r="F24" s="8"/>
      <c r="G24" s="7"/>
      <c r="H24" s="7"/>
      <c r="I24" s="8">
        <v>12</v>
      </c>
      <c r="J24" s="7"/>
      <c r="K24" s="26" t="s">
        <v>50</v>
      </c>
      <c r="L24" s="8">
        <f t="shared" si="0"/>
        <v>86</v>
      </c>
      <c r="M24" s="8">
        <v>47</v>
      </c>
      <c r="N24" s="8">
        <v>19</v>
      </c>
      <c r="O24" s="8">
        <v>20</v>
      </c>
      <c r="P24" s="9" t="s">
        <v>58</v>
      </c>
      <c r="Q24" s="9" t="s">
        <v>59</v>
      </c>
      <c r="R24" s="8">
        <v>12</v>
      </c>
    </row>
    <row r="25" spans="1:18">
      <c r="A25" s="7"/>
      <c r="B25" s="7"/>
      <c r="C25" s="8"/>
      <c r="D25" s="8"/>
      <c r="E25" s="8"/>
      <c r="F25" s="8"/>
      <c r="G25" s="7"/>
      <c r="H25" s="7"/>
      <c r="I25" s="8">
        <v>13</v>
      </c>
      <c r="J25" s="7"/>
      <c r="K25" s="26" t="s">
        <v>91</v>
      </c>
      <c r="L25" s="8">
        <f t="shared" si="0"/>
        <v>85</v>
      </c>
      <c r="M25" s="8">
        <v>49</v>
      </c>
      <c r="N25" s="8">
        <v>16</v>
      </c>
      <c r="O25" s="8">
        <v>20</v>
      </c>
      <c r="P25" s="9" t="s">
        <v>61</v>
      </c>
      <c r="Q25" s="9" t="s">
        <v>62</v>
      </c>
      <c r="R25" s="8">
        <v>13</v>
      </c>
    </row>
    <row r="26" spans="1:18">
      <c r="A26" s="7"/>
      <c r="B26" s="7"/>
      <c r="C26" s="8"/>
      <c r="D26" s="8"/>
      <c r="E26" s="8"/>
      <c r="F26" s="8"/>
      <c r="G26" s="7"/>
      <c r="H26" s="7"/>
      <c r="I26" s="8">
        <v>14</v>
      </c>
      <c r="J26" s="7"/>
      <c r="K26" s="26" t="s">
        <v>41</v>
      </c>
      <c r="L26" s="8">
        <f t="shared" si="0"/>
        <v>87</v>
      </c>
      <c r="M26" s="8">
        <v>56</v>
      </c>
      <c r="N26" s="8">
        <v>11</v>
      </c>
      <c r="O26" s="8">
        <v>20</v>
      </c>
      <c r="P26" s="9" t="s">
        <v>64</v>
      </c>
      <c r="Q26" s="9" t="s">
        <v>65</v>
      </c>
      <c r="R26" s="8">
        <v>14</v>
      </c>
    </row>
    <row r="27" spans="1:18">
      <c r="A27" s="7"/>
      <c r="B27" s="7"/>
      <c r="C27" s="8"/>
      <c r="D27" s="8"/>
      <c r="E27" s="8"/>
      <c r="F27" s="8"/>
      <c r="G27" s="7"/>
      <c r="H27" s="7"/>
      <c r="I27" s="8">
        <v>15</v>
      </c>
      <c r="J27" s="7"/>
      <c r="K27" s="26" t="s">
        <v>84</v>
      </c>
      <c r="L27" s="8">
        <f t="shared" si="0"/>
        <v>84</v>
      </c>
      <c r="M27" s="8">
        <v>50</v>
      </c>
      <c r="N27" s="8">
        <v>14</v>
      </c>
      <c r="O27" s="8">
        <v>20</v>
      </c>
      <c r="P27" s="9" t="s">
        <v>54</v>
      </c>
      <c r="Q27" s="9" t="s">
        <v>67</v>
      </c>
      <c r="R27" s="8">
        <v>15</v>
      </c>
    </row>
    <row r="28" spans="1:18">
      <c r="A28" s="7"/>
      <c r="B28" s="7"/>
      <c r="C28" s="8"/>
      <c r="D28" s="8"/>
      <c r="E28" s="8"/>
      <c r="F28" s="8"/>
      <c r="G28" s="7"/>
      <c r="H28" s="7"/>
      <c r="I28" s="8">
        <v>16</v>
      </c>
      <c r="J28" s="7"/>
      <c r="K28" s="26" t="s">
        <v>27</v>
      </c>
      <c r="L28" s="8">
        <f t="shared" si="0"/>
        <v>80</v>
      </c>
      <c r="M28" s="8">
        <v>53</v>
      </c>
      <c r="N28" s="8">
        <v>7</v>
      </c>
      <c r="O28" s="8">
        <v>20</v>
      </c>
      <c r="P28" s="9" t="s">
        <v>68</v>
      </c>
      <c r="Q28" s="9" t="s">
        <v>69</v>
      </c>
      <c r="R28" s="8">
        <v>16</v>
      </c>
    </row>
    <row r="29" spans="1:18">
      <c r="A29" s="7"/>
      <c r="B29" s="7"/>
      <c r="C29" s="8"/>
      <c r="D29" s="8"/>
      <c r="E29" s="8"/>
      <c r="F29" s="8"/>
      <c r="G29" s="7"/>
      <c r="H29" s="7"/>
      <c r="I29" s="8">
        <v>17</v>
      </c>
      <c r="J29" s="7"/>
      <c r="K29" s="26" t="s">
        <v>89</v>
      </c>
      <c r="L29" s="8">
        <f t="shared" si="0"/>
        <v>83</v>
      </c>
      <c r="M29" s="8">
        <v>51</v>
      </c>
      <c r="N29" s="8">
        <v>12</v>
      </c>
      <c r="O29" s="8">
        <v>20</v>
      </c>
      <c r="P29" s="9" t="s">
        <v>70</v>
      </c>
      <c r="Q29" s="9" t="s">
        <v>71</v>
      </c>
      <c r="R29" s="8">
        <v>17</v>
      </c>
    </row>
    <row r="30" spans="1:18">
      <c r="A30" s="7"/>
      <c r="B30" s="7"/>
      <c r="C30" s="8"/>
      <c r="D30" s="8"/>
      <c r="E30" s="8"/>
      <c r="F30" s="8"/>
      <c r="G30" s="7"/>
      <c r="H30" s="7"/>
      <c r="I30" s="8">
        <v>18</v>
      </c>
      <c r="J30" s="7"/>
      <c r="K30" s="26" t="s">
        <v>32</v>
      </c>
      <c r="L30" s="8">
        <f t="shared" si="0"/>
        <v>92</v>
      </c>
      <c r="M30" s="8">
        <v>55</v>
      </c>
      <c r="N30" s="8">
        <v>17</v>
      </c>
      <c r="O30" s="8">
        <v>20</v>
      </c>
      <c r="P30" s="9" t="s">
        <v>72</v>
      </c>
      <c r="Q30" s="9" t="s">
        <v>73</v>
      </c>
      <c r="R30" s="8">
        <v>18</v>
      </c>
    </row>
    <row r="31" spans="1:18">
      <c r="A31" s="7"/>
      <c r="B31" s="7"/>
      <c r="C31" s="8"/>
      <c r="D31" s="8"/>
      <c r="E31" s="8"/>
      <c r="F31" s="8"/>
      <c r="G31" s="7"/>
      <c r="H31" s="7"/>
      <c r="I31" s="8">
        <v>66</v>
      </c>
      <c r="J31" s="7"/>
      <c r="K31" s="7"/>
      <c r="L31" s="8"/>
      <c r="M31" s="8"/>
      <c r="N31" s="8"/>
      <c r="O31" s="8"/>
      <c r="P31" s="9"/>
      <c r="Q31" s="9"/>
      <c r="R31" s="8">
        <v>19</v>
      </c>
    </row>
    <row r="32" spans="1:18">
      <c r="A32" s="7"/>
      <c r="B32" s="7"/>
      <c r="C32" s="8"/>
      <c r="D32" s="8"/>
      <c r="E32" s="8"/>
      <c r="F32" s="8"/>
      <c r="G32" s="7"/>
      <c r="H32" s="7"/>
      <c r="I32" s="8">
        <v>67</v>
      </c>
      <c r="J32" s="7"/>
      <c r="K32" s="7"/>
      <c r="L32" s="8"/>
      <c r="M32" s="8"/>
      <c r="N32" s="8"/>
      <c r="O32" s="8"/>
      <c r="P32" s="9"/>
      <c r="Q32" s="9"/>
      <c r="R32" s="8">
        <v>20</v>
      </c>
    </row>
    <row r="33" spans="1:18" ht="18.5">
      <c r="A33" s="7"/>
      <c r="B33" s="7"/>
      <c r="C33" s="8"/>
      <c r="D33" s="8"/>
      <c r="E33" s="8"/>
      <c r="F33" s="8"/>
      <c r="G33" s="7"/>
      <c r="H33" s="7"/>
      <c r="I33" s="8">
        <v>68</v>
      </c>
      <c r="J33" s="7"/>
      <c r="K33" s="7"/>
      <c r="L33" s="8"/>
      <c r="M33" s="8"/>
      <c r="N33" s="8"/>
      <c r="O33" s="8"/>
      <c r="P33" s="10"/>
      <c r="Q33" s="10"/>
      <c r="R33" s="8">
        <v>21</v>
      </c>
    </row>
    <row r="34" spans="1:18" ht="15" customHeight="1">
      <c r="A34" s="7"/>
      <c r="B34" s="7"/>
      <c r="C34" s="8"/>
      <c r="D34" s="8"/>
      <c r="E34" s="8"/>
      <c r="F34" s="8"/>
      <c r="G34" s="7"/>
      <c r="H34" s="7"/>
      <c r="I34" s="8">
        <v>69</v>
      </c>
      <c r="J34" s="7"/>
      <c r="K34" s="7"/>
      <c r="L34" s="8"/>
      <c r="M34" s="8"/>
      <c r="N34" s="8"/>
      <c r="O34" s="8"/>
      <c r="P34" s="10"/>
      <c r="Q34" s="10"/>
      <c r="R34" s="8">
        <v>22</v>
      </c>
    </row>
    <row r="35" spans="1:18" ht="18.5">
      <c r="A35" s="7"/>
      <c r="B35" s="7"/>
      <c r="C35" s="8"/>
      <c r="D35" s="8"/>
      <c r="E35" s="8"/>
      <c r="F35" s="8"/>
      <c r="G35" s="7"/>
      <c r="H35" s="7"/>
      <c r="I35" s="8">
        <v>70</v>
      </c>
      <c r="J35" s="7"/>
      <c r="K35" s="7"/>
      <c r="L35" s="8"/>
      <c r="M35" s="8"/>
      <c r="N35" s="8"/>
      <c r="O35" s="8"/>
      <c r="P35" s="10"/>
      <c r="Q35" s="10"/>
      <c r="R35" s="8">
        <v>23</v>
      </c>
    </row>
    <row r="36" spans="1:18" ht="18.5">
      <c r="A36" s="7"/>
      <c r="B36" s="7"/>
      <c r="C36" s="8"/>
      <c r="D36" s="8"/>
      <c r="E36" s="8"/>
      <c r="F36" s="8"/>
      <c r="G36" s="7"/>
      <c r="H36" s="7"/>
      <c r="I36" s="8">
        <v>71</v>
      </c>
      <c r="J36" s="7"/>
      <c r="K36" s="7"/>
      <c r="L36" s="8"/>
      <c r="M36" s="8"/>
      <c r="N36" s="8"/>
      <c r="O36" s="8"/>
      <c r="P36" s="10"/>
      <c r="Q36" s="10"/>
      <c r="R36" s="8">
        <v>33</v>
      </c>
    </row>
    <row r="37" spans="1:18">
      <c r="A37" s="7"/>
      <c r="B37" s="7"/>
      <c r="C37" s="8"/>
      <c r="D37" s="8"/>
      <c r="E37" s="8"/>
      <c r="F37" s="8"/>
      <c r="G37" s="7"/>
      <c r="H37" s="7"/>
      <c r="I37" s="8">
        <v>72</v>
      </c>
      <c r="J37" s="7"/>
      <c r="K37" s="7"/>
      <c r="L37" s="8"/>
      <c r="M37" s="8"/>
      <c r="N37" s="8"/>
      <c r="O37" s="8"/>
      <c r="P37" s="9"/>
      <c r="Q37" s="9"/>
      <c r="R37" s="8">
        <v>34</v>
      </c>
    </row>
    <row r="38" spans="1:18">
      <c r="A38" s="7"/>
      <c r="B38" s="7"/>
      <c r="C38" s="8"/>
      <c r="D38" s="8"/>
      <c r="E38" s="8"/>
      <c r="F38" s="8"/>
      <c r="G38" s="7"/>
      <c r="H38" s="7"/>
      <c r="I38" s="8">
        <v>73</v>
      </c>
      <c r="J38" s="7"/>
      <c r="K38" s="7"/>
      <c r="L38" s="8"/>
      <c r="M38" s="8"/>
      <c r="N38" s="8"/>
      <c r="O38" s="8"/>
      <c r="P38" s="9"/>
      <c r="Q38" s="9"/>
      <c r="R38" s="8">
        <v>35</v>
      </c>
    </row>
    <row r="39" spans="1:18">
      <c r="A39" s="7"/>
      <c r="B39" s="7"/>
      <c r="C39" s="8"/>
      <c r="D39" s="8"/>
      <c r="E39" s="8"/>
      <c r="F39" s="8"/>
      <c r="G39" s="7"/>
      <c r="H39" s="7"/>
      <c r="I39" s="8">
        <v>74</v>
      </c>
      <c r="J39" s="7"/>
      <c r="K39" s="7"/>
      <c r="L39" s="8"/>
      <c r="M39" s="8"/>
      <c r="N39" s="8"/>
      <c r="O39" s="8"/>
      <c r="P39" s="9"/>
      <c r="Q39" s="9"/>
      <c r="R39" s="8">
        <v>36</v>
      </c>
    </row>
    <row r="40" spans="1:18">
      <c r="A40" s="7"/>
      <c r="B40" s="7"/>
      <c r="C40" s="8"/>
      <c r="D40" s="8"/>
      <c r="E40" s="8"/>
      <c r="F40" s="8"/>
      <c r="G40" s="7"/>
      <c r="H40" s="7"/>
      <c r="I40" s="8">
        <v>75</v>
      </c>
      <c r="J40" s="7"/>
      <c r="K40" s="7"/>
      <c r="L40" s="8"/>
      <c r="M40" s="8"/>
      <c r="N40" s="8"/>
      <c r="O40" s="8"/>
      <c r="P40" s="9"/>
      <c r="Q40" s="9"/>
      <c r="R40" s="8">
        <v>37</v>
      </c>
    </row>
    <row r="41" spans="1:18">
      <c r="A41" s="7"/>
      <c r="B41" s="7"/>
      <c r="C41" s="8"/>
      <c r="D41" s="8"/>
      <c r="E41" s="8"/>
      <c r="F41" s="8"/>
      <c r="G41" s="7"/>
      <c r="H41" s="7"/>
      <c r="I41" s="8">
        <v>76</v>
      </c>
      <c r="J41" s="7"/>
      <c r="K41" s="7"/>
      <c r="L41" s="8"/>
      <c r="M41" s="8"/>
      <c r="N41" s="8"/>
      <c r="O41" s="8"/>
      <c r="P41" s="9"/>
      <c r="Q41" s="9"/>
      <c r="R41" s="8">
        <v>38</v>
      </c>
    </row>
    <row r="42" spans="1:18">
      <c r="A42" s="44" t="s">
        <v>74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</row>
    <row r="43" spans="1:18">
      <c r="E43" s="11" t="s">
        <v>75</v>
      </c>
      <c r="M43" s="11" t="s">
        <v>76</v>
      </c>
    </row>
  </sheetData>
  <mergeCells count="30">
    <mergeCell ref="A1:R1"/>
    <mergeCell ref="A2:R2"/>
    <mergeCell ref="A3:R3"/>
    <mergeCell ref="A4:R4"/>
    <mergeCell ref="A5:R5"/>
    <mergeCell ref="A6:R6"/>
    <mergeCell ref="B7:D7"/>
    <mergeCell ref="G7:I7"/>
    <mergeCell ref="L7:O7"/>
    <mergeCell ref="A9:D9"/>
    <mergeCell ref="E9:F9"/>
    <mergeCell ref="H9:J9"/>
    <mergeCell ref="L9:O9"/>
    <mergeCell ref="P9:Q9"/>
    <mergeCell ref="A42:R42"/>
    <mergeCell ref="A10:R10"/>
    <mergeCell ref="A11:A12"/>
    <mergeCell ref="B11:C11"/>
    <mergeCell ref="D11:D12"/>
    <mergeCell ref="E11:E12"/>
    <mergeCell ref="F11:F12"/>
    <mergeCell ref="G11:H11"/>
    <mergeCell ref="I11:I12"/>
    <mergeCell ref="J11:J12"/>
    <mergeCell ref="K11:L11"/>
    <mergeCell ref="M11:M12"/>
    <mergeCell ref="N11:N12"/>
    <mergeCell ref="O11:O12"/>
    <mergeCell ref="P11:Q11"/>
    <mergeCell ref="R11:R12"/>
  </mergeCells>
  <pageMargins left="0.30208333333333298" right="0.29166666666666702" top="0.15625" bottom="0.114583333333333" header="0.511811023622047" footer="0.511811023622047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3"/>
  <sheetViews>
    <sheetView topLeftCell="A14" zoomScaleNormal="100" workbookViewId="0">
      <selection activeCell="P20" sqref="P20"/>
    </sheetView>
  </sheetViews>
  <sheetFormatPr defaultColWidth="9.1796875" defaultRowHeight="14.5"/>
  <cols>
    <col min="1" max="1" width="3.7265625" customWidth="1"/>
    <col min="2" max="3" width="4.7265625" customWidth="1"/>
    <col min="4" max="6" width="4.1796875" customWidth="1"/>
    <col min="7" max="8" width="9.7265625" customWidth="1"/>
    <col min="9" max="9" width="3.54296875" style="1" customWidth="1"/>
    <col min="10" max="10" width="3.7265625" customWidth="1"/>
    <col min="11" max="12" width="4.7265625" style="1" customWidth="1"/>
    <col min="13" max="15" width="3.81640625" style="1" customWidth="1"/>
    <col min="16" max="17" width="10.7265625" customWidth="1"/>
    <col min="18" max="18" width="3.7265625" style="1" customWidth="1"/>
  </cols>
  <sheetData>
    <row r="1" spans="1:18" ht="14.25" customHeight="1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</row>
    <row r="2" spans="1:18" ht="14.25" customHeight="1">
      <c r="A2" s="29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</row>
    <row r="3" spans="1:18" ht="14.25" customHeight="1">
      <c r="A3" s="29" t="s">
        <v>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</row>
    <row r="4" spans="1:18" ht="14.25" customHeight="1">
      <c r="A4" s="29" t="s">
        <v>3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</row>
    <row r="5" spans="1:18" ht="14.25" customHeight="1">
      <c r="A5" s="29" t="s">
        <v>4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</row>
    <row r="6" spans="1:18" ht="14.25" customHeight="1">
      <c r="A6" s="36" t="s">
        <v>5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</row>
    <row r="7" spans="1:18" ht="15.75" customHeight="1">
      <c r="B7" s="37" t="s">
        <v>6</v>
      </c>
      <c r="C7" s="37"/>
      <c r="D7" s="37"/>
      <c r="G7" s="38" t="s">
        <v>7</v>
      </c>
      <c r="H7" s="38"/>
      <c r="I7" s="38"/>
      <c r="J7" s="2"/>
      <c r="L7" s="39" t="s">
        <v>8</v>
      </c>
      <c r="M7" s="39"/>
      <c r="N7" s="39"/>
      <c r="O7" s="39"/>
      <c r="P7" s="3" t="s">
        <v>9</v>
      </c>
      <c r="Q7" s="4" t="s">
        <v>10</v>
      </c>
    </row>
    <row r="8" spans="1:18" ht="6.75" customHeight="1"/>
    <row r="9" spans="1:18">
      <c r="A9" s="40" t="s">
        <v>103</v>
      </c>
      <c r="B9" s="40"/>
      <c r="C9" s="40"/>
      <c r="D9" s="40"/>
      <c r="E9" s="41" t="s">
        <v>12</v>
      </c>
      <c r="F9" s="41"/>
      <c r="H9" s="41" t="s">
        <v>13</v>
      </c>
      <c r="I9" s="41"/>
      <c r="J9" s="41"/>
      <c r="L9" s="47" t="s">
        <v>128</v>
      </c>
      <c r="M9" s="47"/>
      <c r="N9" s="47"/>
      <c r="O9" s="47"/>
      <c r="P9" s="43" t="s">
        <v>129</v>
      </c>
      <c r="Q9" s="43"/>
    </row>
    <row r="10" spans="1:18" ht="7.5" customHeight="1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</row>
    <row r="11" spans="1:18" ht="19.5" customHeight="1">
      <c r="A11" s="30" t="s">
        <v>16</v>
      </c>
      <c r="B11" s="31" t="s">
        <v>17</v>
      </c>
      <c r="C11" s="31"/>
      <c r="D11" s="32" t="s">
        <v>18</v>
      </c>
      <c r="E11" s="32" t="s">
        <v>19</v>
      </c>
      <c r="F11" s="30" t="s">
        <v>20</v>
      </c>
      <c r="G11" s="33" t="s">
        <v>21</v>
      </c>
      <c r="H11" s="33"/>
      <c r="I11" s="34" t="s">
        <v>22</v>
      </c>
      <c r="J11" s="30" t="s">
        <v>16</v>
      </c>
      <c r="K11" s="35" t="s">
        <v>17</v>
      </c>
      <c r="L11" s="35"/>
      <c r="M11" s="32" t="s">
        <v>18</v>
      </c>
      <c r="N11" s="32" t="s">
        <v>19</v>
      </c>
      <c r="O11" s="30" t="s">
        <v>20</v>
      </c>
      <c r="P11" s="33" t="s">
        <v>21</v>
      </c>
      <c r="Q11" s="33"/>
      <c r="R11" s="34" t="s">
        <v>22</v>
      </c>
    </row>
    <row r="12" spans="1:18" ht="25.5" customHeight="1">
      <c r="A12" s="30"/>
      <c r="B12" s="6" t="s">
        <v>23</v>
      </c>
      <c r="C12" s="6" t="s">
        <v>24</v>
      </c>
      <c r="D12" s="32"/>
      <c r="E12" s="32"/>
      <c r="F12" s="32"/>
      <c r="G12" s="5" t="s">
        <v>25</v>
      </c>
      <c r="H12" s="5" t="s">
        <v>26</v>
      </c>
      <c r="I12" s="34"/>
      <c r="J12" s="34"/>
      <c r="K12" s="6" t="s">
        <v>23</v>
      </c>
      <c r="L12" s="6" t="s">
        <v>24</v>
      </c>
      <c r="M12" s="32"/>
      <c r="N12" s="32"/>
      <c r="O12" s="32"/>
      <c r="P12" s="5" t="s">
        <v>25</v>
      </c>
      <c r="Q12" s="5" t="s">
        <v>26</v>
      </c>
      <c r="R12" s="34"/>
    </row>
    <row r="13" spans="1:18">
      <c r="A13" s="7"/>
      <c r="B13" s="7"/>
      <c r="C13" s="8"/>
      <c r="D13" s="8"/>
      <c r="E13" s="8"/>
      <c r="F13" s="8"/>
      <c r="G13" s="7"/>
      <c r="H13" s="7"/>
      <c r="I13" s="8">
        <v>1</v>
      </c>
      <c r="J13" s="7"/>
      <c r="K13" s="27" t="s">
        <v>91</v>
      </c>
      <c r="L13" s="8">
        <f t="shared" ref="L13:L30" si="0">SUM(M13:O13)</f>
        <v>85</v>
      </c>
      <c r="M13" s="8">
        <v>60</v>
      </c>
      <c r="N13" s="8">
        <v>5</v>
      </c>
      <c r="O13" s="8">
        <v>20</v>
      </c>
      <c r="P13" s="9" t="s">
        <v>28</v>
      </c>
      <c r="Q13" s="9" t="s">
        <v>29</v>
      </c>
      <c r="R13" s="8">
        <v>1</v>
      </c>
    </row>
    <row r="14" spans="1:18">
      <c r="A14" s="7"/>
      <c r="B14" s="7"/>
      <c r="C14" s="8"/>
      <c r="D14" s="8"/>
      <c r="E14" s="8"/>
      <c r="F14" s="8"/>
      <c r="G14" s="7"/>
      <c r="H14" s="7"/>
      <c r="I14" s="8">
        <v>2</v>
      </c>
      <c r="J14" s="7"/>
      <c r="K14" s="27" t="s">
        <v>97</v>
      </c>
      <c r="L14" s="8">
        <f t="shared" si="0"/>
        <v>89</v>
      </c>
      <c r="M14" s="8">
        <v>57</v>
      </c>
      <c r="N14" s="8">
        <v>12</v>
      </c>
      <c r="O14" s="8">
        <v>20</v>
      </c>
      <c r="P14" s="9" t="s">
        <v>30</v>
      </c>
      <c r="Q14" s="9" t="s">
        <v>31</v>
      </c>
      <c r="R14" s="8">
        <v>2</v>
      </c>
    </row>
    <row r="15" spans="1:18">
      <c r="A15" s="7"/>
      <c r="B15" s="7"/>
      <c r="C15" s="8"/>
      <c r="D15" s="8"/>
      <c r="E15" s="8"/>
      <c r="F15" s="8"/>
      <c r="G15" s="7"/>
      <c r="H15" s="7"/>
      <c r="I15" s="8">
        <v>3</v>
      </c>
      <c r="J15" s="7"/>
      <c r="K15" s="27" t="s">
        <v>91</v>
      </c>
      <c r="L15" s="8">
        <f t="shared" si="0"/>
        <v>85</v>
      </c>
      <c r="M15" s="8">
        <v>48</v>
      </c>
      <c r="N15" s="8">
        <v>17</v>
      </c>
      <c r="O15" s="8">
        <v>20</v>
      </c>
      <c r="P15" s="9" t="s">
        <v>33</v>
      </c>
      <c r="Q15" s="9" t="s">
        <v>34</v>
      </c>
      <c r="R15" s="8">
        <v>3</v>
      </c>
    </row>
    <row r="16" spans="1:18">
      <c r="A16" s="7"/>
      <c r="B16" s="7"/>
      <c r="C16" s="8"/>
      <c r="D16" s="8"/>
      <c r="E16" s="8"/>
      <c r="F16" s="8"/>
      <c r="G16" s="7"/>
      <c r="H16" s="7"/>
      <c r="I16" s="8">
        <v>4</v>
      </c>
      <c r="J16" s="7"/>
      <c r="K16" s="27" t="s">
        <v>35</v>
      </c>
      <c r="L16" s="8">
        <f t="shared" si="0"/>
        <v>95</v>
      </c>
      <c r="M16" s="8">
        <v>57</v>
      </c>
      <c r="N16" s="8">
        <v>18</v>
      </c>
      <c r="O16" s="8">
        <v>20</v>
      </c>
      <c r="P16" s="9" t="s">
        <v>36</v>
      </c>
      <c r="Q16" s="9" t="s">
        <v>37</v>
      </c>
      <c r="R16" s="8">
        <v>4</v>
      </c>
    </row>
    <row r="17" spans="1:18">
      <c r="A17" s="7"/>
      <c r="B17" s="7"/>
      <c r="C17" s="8"/>
      <c r="D17" s="8"/>
      <c r="E17" s="8"/>
      <c r="F17" s="8"/>
      <c r="G17" s="7"/>
      <c r="H17" s="7"/>
      <c r="I17" s="8">
        <v>5</v>
      </c>
      <c r="J17" s="7"/>
      <c r="K17" s="27" t="s">
        <v>100</v>
      </c>
      <c r="L17" s="8">
        <f t="shared" si="0"/>
        <v>93</v>
      </c>
      <c r="M17" s="8">
        <v>60</v>
      </c>
      <c r="N17" s="8">
        <v>13</v>
      </c>
      <c r="O17" s="8">
        <v>20</v>
      </c>
      <c r="P17" s="9" t="s">
        <v>39</v>
      </c>
      <c r="Q17" s="9" t="s">
        <v>40</v>
      </c>
      <c r="R17" s="8">
        <v>5</v>
      </c>
    </row>
    <row r="18" spans="1:18">
      <c r="A18" s="7"/>
      <c r="B18" s="7"/>
      <c r="C18" s="8"/>
      <c r="D18" s="8"/>
      <c r="E18" s="8"/>
      <c r="F18" s="8"/>
      <c r="G18" s="7"/>
      <c r="H18" s="7"/>
      <c r="I18" s="8">
        <v>6</v>
      </c>
      <c r="J18" s="7"/>
      <c r="K18" s="27" t="s">
        <v>38</v>
      </c>
      <c r="L18" s="8">
        <f t="shared" si="0"/>
        <v>88</v>
      </c>
      <c r="M18" s="8">
        <v>49</v>
      </c>
      <c r="N18" s="8">
        <v>19</v>
      </c>
      <c r="O18" s="8">
        <v>20</v>
      </c>
      <c r="P18" s="9" t="s">
        <v>42</v>
      </c>
      <c r="Q18" s="9" t="s">
        <v>43</v>
      </c>
      <c r="R18" s="8">
        <v>6</v>
      </c>
    </row>
    <row r="19" spans="1:18">
      <c r="A19" s="7"/>
      <c r="B19" s="7"/>
      <c r="C19" s="8"/>
      <c r="D19" s="8"/>
      <c r="E19" s="8"/>
      <c r="F19" s="8"/>
      <c r="G19" s="7"/>
      <c r="H19" s="7"/>
      <c r="I19" s="8">
        <v>7</v>
      </c>
      <c r="J19" s="7"/>
      <c r="K19" s="27" t="s">
        <v>32</v>
      </c>
      <c r="L19" s="8">
        <f t="shared" si="0"/>
        <v>92</v>
      </c>
      <c r="M19" s="8">
        <v>60</v>
      </c>
      <c r="N19" s="8">
        <v>12</v>
      </c>
      <c r="O19" s="8">
        <v>20</v>
      </c>
      <c r="P19" s="9" t="s">
        <v>45</v>
      </c>
      <c r="Q19" s="9" t="s">
        <v>46</v>
      </c>
      <c r="R19" s="8">
        <v>7</v>
      </c>
    </row>
    <row r="20" spans="1:18">
      <c r="A20" s="7"/>
      <c r="B20" s="7"/>
      <c r="C20" s="8"/>
      <c r="D20" s="8"/>
      <c r="E20" s="8"/>
      <c r="F20" s="8"/>
      <c r="G20" s="7"/>
      <c r="H20" s="7"/>
      <c r="I20" s="8">
        <v>8</v>
      </c>
      <c r="J20" s="7"/>
      <c r="K20" s="27" t="s">
        <v>100</v>
      </c>
      <c r="L20" s="8">
        <f t="shared" si="0"/>
        <v>93</v>
      </c>
      <c r="M20" s="8">
        <v>57</v>
      </c>
      <c r="N20" s="8">
        <v>16</v>
      </c>
      <c r="O20" s="8">
        <v>20</v>
      </c>
      <c r="P20" s="9" t="s">
        <v>48</v>
      </c>
      <c r="Q20" s="9" t="s">
        <v>49</v>
      </c>
      <c r="R20" s="8">
        <v>8</v>
      </c>
    </row>
    <row r="21" spans="1:18">
      <c r="A21" s="7"/>
      <c r="B21" s="7"/>
      <c r="C21" s="8"/>
      <c r="D21" s="8"/>
      <c r="E21" s="8"/>
      <c r="F21" s="8"/>
      <c r="G21" s="7"/>
      <c r="H21" s="7"/>
      <c r="I21" s="8">
        <v>9</v>
      </c>
      <c r="J21" s="7"/>
      <c r="K21" s="27" t="s">
        <v>35</v>
      </c>
      <c r="L21" s="8">
        <f t="shared" si="0"/>
        <v>95</v>
      </c>
      <c r="M21" s="8">
        <v>55</v>
      </c>
      <c r="N21" s="8">
        <v>20</v>
      </c>
      <c r="O21" s="8">
        <v>20</v>
      </c>
      <c r="P21" s="9" t="s">
        <v>51</v>
      </c>
      <c r="Q21" s="9" t="s">
        <v>52</v>
      </c>
      <c r="R21" s="8">
        <v>9</v>
      </c>
    </row>
    <row r="22" spans="1:18">
      <c r="A22" s="7"/>
      <c r="B22" s="7"/>
      <c r="C22" s="8"/>
      <c r="D22" s="8"/>
      <c r="E22" s="8"/>
      <c r="F22" s="8"/>
      <c r="G22" s="7"/>
      <c r="H22" s="7"/>
      <c r="I22" s="8">
        <v>10</v>
      </c>
      <c r="J22" s="7"/>
      <c r="K22" s="27" t="s">
        <v>50</v>
      </c>
      <c r="L22" s="8">
        <f t="shared" si="0"/>
        <v>86</v>
      </c>
      <c r="M22" s="8">
        <v>49</v>
      </c>
      <c r="N22" s="8">
        <v>17</v>
      </c>
      <c r="O22" s="8">
        <v>20</v>
      </c>
      <c r="P22" s="9" t="s">
        <v>54</v>
      </c>
      <c r="Q22" s="9" t="s">
        <v>55</v>
      </c>
      <c r="R22" s="8">
        <v>10</v>
      </c>
    </row>
    <row r="23" spans="1:18">
      <c r="A23" s="7"/>
      <c r="B23" s="7"/>
      <c r="C23" s="8"/>
      <c r="D23" s="8"/>
      <c r="E23" s="8"/>
      <c r="F23" s="8"/>
      <c r="G23" s="7"/>
      <c r="H23" s="7"/>
      <c r="I23" s="8">
        <v>11</v>
      </c>
      <c r="J23" s="7"/>
      <c r="K23" s="27" t="s">
        <v>82</v>
      </c>
      <c r="L23" s="8">
        <f t="shared" si="0"/>
        <v>90</v>
      </c>
      <c r="M23" s="8">
        <v>54</v>
      </c>
      <c r="N23" s="8">
        <v>16</v>
      </c>
      <c r="O23" s="8">
        <v>20</v>
      </c>
      <c r="P23" s="9" t="s">
        <v>56</v>
      </c>
      <c r="Q23" s="9" t="s">
        <v>57</v>
      </c>
      <c r="R23" s="8">
        <v>11</v>
      </c>
    </row>
    <row r="24" spans="1:18">
      <c r="A24" s="7"/>
      <c r="B24" s="7"/>
      <c r="C24" s="8"/>
      <c r="D24" s="8"/>
      <c r="E24" s="8"/>
      <c r="F24" s="8"/>
      <c r="G24" s="7"/>
      <c r="H24" s="7"/>
      <c r="I24" s="8">
        <v>12</v>
      </c>
      <c r="J24" s="7"/>
      <c r="K24" s="27" t="s">
        <v>83</v>
      </c>
      <c r="L24" s="8">
        <f t="shared" si="0"/>
        <v>77</v>
      </c>
      <c r="M24" s="8">
        <v>51</v>
      </c>
      <c r="N24" s="8">
        <v>6</v>
      </c>
      <c r="O24" s="8">
        <v>20</v>
      </c>
      <c r="P24" s="9" t="s">
        <v>58</v>
      </c>
      <c r="Q24" s="9" t="s">
        <v>59</v>
      </c>
      <c r="R24" s="8">
        <v>12</v>
      </c>
    </row>
    <row r="25" spans="1:18">
      <c r="A25" s="7"/>
      <c r="B25" s="7"/>
      <c r="C25" s="8"/>
      <c r="D25" s="8"/>
      <c r="E25" s="8"/>
      <c r="F25" s="8"/>
      <c r="G25" s="7"/>
      <c r="H25" s="7"/>
      <c r="I25" s="8">
        <v>13</v>
      </c>
      <c r="J25" s="7"/>
      <c r="K25" s="27" t="s">
        <v>114</v>
      </c>
      <c r="L25" s="8">
        <f t="shared" si="0"/>
        <v>97</v>
      </c>
      <c r="M25" s="8">
        <v>59</v>
      </c>
      <c r="N25" s="8">
        <v>18</v>
      </c>
      <c r="O25" s="8">
        <v>20</v>
      </c>
      <c r="P25" s="9" t="s">
        <v>61</v>
      </c>
      <c r="Q25" s="9" t="s">
        <v>62</v>
      </c>
      <c r="R25" s="8">
        <v>13</v>
      </c>
    </row>
    <row r="26" spans="1:18">
      <c r="A26" s="7"/>
      <c r="B26" s="7"/>
      <c r="C26" s="8"/>
      <c r="D26" s="8"/>
      <c r="E26" s="8"/>
      <c r="F26" s="8"/>
      <c r="G26" s="7"/>
      <c r="H26" s="7"/>
      <c r="I26" s="8">
        <v>14</v>
      </c>
      <c r="J26" s="7"/>
      <c r="K26" s="27" t="s">
        <v>91</v>
      </c>
      <c r="L26" s="8">
        <f t="shared" si="0"/>
        <v>85</v>
      </c>
      <c r="M26" s="8">
        <v>52</v>
      </c>
      <c r="N26" s="8">
        <v>13</v>
      </c>
      <c r="O26" s="8">
        <v>20</v>
      </c>
      <c r="P26" s="9" t="s">
        <v>64</v>
      </c>
      <c r="Q26" s="9" t="s">
        <v>65</v>
      </c>
      <c r="R26" s="8">
        <v>14</v>
      </c>
    </row>
    <row r="27" spans="1:18">
      <c r="A27" s="7"/>
      <c r="B27" s="7"/>
      <c r="C27" s="8"/>
      <c r="D27" s="8"/>
      <c r="E27" s="8"/>
      <c r="F27" s="8"/>
      <c r="G27" s="7"/>
      <c r="H27" s="7"/>
      <c r="I27" s="8">
        <v>15</v>
      </c>
      <c r="J27" s="7"/>
      <c r="K27" s="27" t="s">
        <v>84</v>
      </c>
      <c r="L27" s="8">
        <f t="shared" si="0"/>
        <v>84</v>
      </c>
      <c r="M27" s="8">
        <v>44</v>
      </c>
      <c r="N27" s="8">
        <v>20</v>
      </c>
      <c r="O27" s="8">
        <v>20</v>
      </c>
      <c r="P27" s="9" t="s">
        <v>54</v>
      </c>
      <c r="Q27" s="9" t="s">
        <v>67</v>
      </c>
      <c r="R27" s="8">
        <v>15</v>
      </c>
    </row>
    <row r="28" spans="1:18">
      <c r="A28" s="7"/>
      <c r="B28" s="7"/>
      <c r="C28" s="8"/>
      <c r="D28" s="8"/>
      <c r="E28" s="8"/>
      <c r="F28" s="8"/>
      <c r="G28" s="7"/>
      <c r="H28" s="7"/>
      <c r="I28" s="8">
        <v>16</v>
      </c>
      <c r="J28" s="7"/>
      <c r="K28" s="27" t="s">
        <v>91</v>
      </c>
      <c r="L28" s="8">
        <f t="shared" si="0"/>
        <v>85</v>
      </c>
      <c r="M28" s="8">
        <v>55</v>
      </c>
      <c r="N28" s="8">
        <v>10</v>
      </c>
      <c r="O28" s="8">
        <v>20</v>
      </c>
      <c r="P28" s="9" t="s">
        <v>68</v>
      </c>
      <c r="Q28" s="9" t="s">
        <v>69</v>
      </c>
      <c r="R28" s="8">
        <v>16</v>
      </c>
    </row>
    <row r="29" spans="1:18">
      <c r="A29" s="7"/>
      <c r="B29" s="7"/>
      <c r="C29" s="8"/>
      <c r="D29" s="8"/>
      <c r="E29" s="8"/>
      <c r="F29" s="8"/>
      <c r="G29" s="7"/>
      <c r="H29" s="7"/>
      <c r="I29" s="8">
        <v>17</v>
      </c>
      <c r="J29" s="7"/>
      <c r="K29" s="27" t="s">
        <v>38</v>
      </c>
      <c r="L29" s="8">
        <f t="shared" si="0"/>
        <v>88</v>
      </c>
      <c r="M29" s="8">
        <v>52</v>
      </c>
      <c r="N29" s="8">
        <v>16</v>
      </c>
      <c r="O29" s="8">
        <v>20</v>
      </c>
      <c r="P29" s="9" t="s">
        <v>70</v>
      </c>
      <c r="Q29" s="9" t="s">
        <v>71</v>
      </c>
      <c r="R29" s="8">
        <v>17</v>
      </c>
    </row>
    <row r="30" spans="1:18">
      <c r="A30" s="7"/>
      <c r="B30" s="7"/>
      <c r="C30" s="8"/>
      <c r="D30" s="8"/>
      <c r="E30" s="8"/>
      <c r="F30" s="8"/>
      <c r="G30" s="7"/>
      <c r="H30" s="7"/>
      <c r="I30" s="8">
        <v>18</v>
      </c>
      <c r="J30" s="7"/>
      <c r="K30" s="27" t="s">
        <v>47</v>
      </c>
      <c r="L30" s="8">
        <f t="shared" si="0"/>
        <v>94</v>
      </c>
      <c r="M30" s="8">
        <v>57</v>
      </c>
      <c r="N30" s="8">
        <v>17</v>
      </c>
      <c r="O30" s="8">
        <v>20</v>
      </c>
      <c r="P30" s="9" t="s">
        <v>72</v>
      </c>
      <c r="Q30" s="9" t="s">
        <v>73</v>
      </c>
      <c r="R30" s="8">
        <v>18</v>
      </c>
    </row>
    <row r="31" spans="1:18">
      <c r="A31" s="7"/>
      <c r="B31" s="7"/>
      <c r="C31" s="8"/>
      <c r="D31" s="8"/>
      <c r="E31" s="8"/>
      <c r="F31" s="8"/>
      <c r="G31" s="7"/>
      <c r="H31" s="7"/>
      <c r="I31" s="8">
        <v>66</v>
      </c>
      <c r="J31" s="7"/>
      <c r="K31" s="8"/>
      <c r="L31" s="8"/>
      <c r="M31" s="8"/>
      <c r="N31" s="8"/>
      <c r="O31" s="8"/>
      <c r="P31" s="9"/>
      <c r="Q31" s="9"/>
      <c r="R31" s="8">
        <v>28</v>
      </c>
    </row>
    <row r="32" spans="1:18">
      <c r="A32" s="7"/>
      <c r="B32" s="7"/>
      <c r="C32" s="8"/>
      <c r="D32" s="8"/>
      <c r="E32" s="8"/>
      <c r="F32" s="8"/>
      <c r="G32" s="7"/>
      <c r="H32" s="7"/>
      <c r="I32" s="8">
        <v>67</v>
      </c>
      <c r="J32" s="7"/>
      <c r="K32" s="8"/>
      <c r="L32" s="8"/>
      <c r="M32" s="8"/>
      <c r="N32" s="8"/>
      <c r="O32" s="8"/>
      <c r="P32" s="9"/>
      <c r="Q32" s="9"/>
      <c r="R32" s="8">
        <v>29</v>
      </c>
    </row>
    <row r="33" spans="1:18" ht="18.5">
      <c r="A33" s="7"/>
      <c r="B33" s="7"/>
      <c r="C33" s="8"/>
      <c r="D33" s="8"/>
      <c r="E33" s="8"/>
      <c r="F33" s="8"/>
      <c r="G33" s="7"/>
      <c r="H33" s="7"/>
      <c r="I33" s="8">
        <v>68</v>
      </c>
      <c r="J33" s="7"/>
      <c r="K33" s="8"/>
      <c r="L33" s="8"/>
      <c r="M33" s="8"/>
      <c r="N33" s="8"/>
      <c r="O33" s="8"/>
      <c r="P33" s="10"/>
      <c r="Q33" s="10"/>
      <c r="R33" s="8">
        <v>30</v>
      </c>
    </row>
    <row r="34" spans="1:18" ht="18.5">
      <c r="A34" s="7"/>
      <c r="B34" s="7"/>
      <c r="C34" s="8"/>
      <c r="D34" s="8"/>
      <c r="E34" s="8"/>
      <c r="F34" s="8"/>
      <c r="G34" s="7"/>
      <c r="H34" s="7"/>
      <c r="I34" s="8">
        <v>69</v>
      </c>
      <c r="J34" s="7"/>
      <c r="K34" s="8"/>
      <c r="L34" s="8"/>
      <c r="M34" s="8"/>
      <c r="N34" s="8"/>
      <c r="O34" s="8"/>
      <c r="P34" s="10"/>
      <c r="Q34" s="10"/>
      <c r="R34" s="8">
        <v>31</v>
      </c>
    </row>
    <row r="35" spans="1:18" ht="18.5">
      <c r="A35" s="7"/>
      <c r="B35" s="7"/>
      <c r="C35" s="8"/>
      <c r="D35" s="8"/>
      <c r="E35" s="8"/>
      <c r="F35" s="8"/>
      <c r="G35" s="7"/>
      <c r="H35" s="7"/>
      <c r="I35" s="8">
        <v>70</v>
      </c>
      <c r="J35" s="7"/>
      <c r="K35" s="8"/>
      <c r="L35" s="8"/>
      <c r="M35" s="8"/>
      <c r="N35" s="8"/>
      <c r="O35" s="8"/>
      <c r="P35" s="10"/>
      <c r="Q35" s="10"/>
      <c r="R35" s="8">
        <v>32</v>
      </c>
    </row>
    <row r="36" spans="1:18" ht="18.5">
      <c r="A36" s="7"/>
      <c r="B36" s="7"/>
      <c r="C36" s="8"/>
      <c r="D36" s="8"/>
      <c r="E36" s="8"/>
      <c r="F36" s="8"/>
      <c r="G36" s="7"/>
      <c r="H36" s="7"/>
      <c r="I36" s="8">
        <v>71</v>
      </c>
      <c r="J36" s="7"/>
      <c r="K36" s="8"/>
      <c r="L36" s="8"/>
      <c r="M36" s="8"/>
      <c r="N36" s="8"/>
      <c r="O36" s="8"/>
      <c r="P36" s="10"/>
      <c r="Q36" s="10"/>
      <c r="R36" s="8">
        <v>33</v>
      </c>
    </row>
    <row r="37" spans="1:18">
      <c r="A37" s="7"/>
      <c r="B37" s="7"/>
      <c r="C37" s="8"/>
      <c r="D37" s="8"/>
      <c r="E37" s="8"/>
      <c r="F37" s="8"/>
      <c r="G37" s="7"/>
      <c r="H37" s="7"/>
      <c r="I37" s="8">
        <v>72</v>
      </c>
      <c r="J37" s="7"/>
      <c r="K37" s="8"/>
      <c r="L37" s="8"/>
      <c r="M37" s="8"/>
      <c r="N37" s="8"/>
      <c r="O37" s="8"/>
      <c r="P37" s="9"/>
      <c r="Q37" s="9"/>
      <c r="R37" s="8">
        <v>34</v>
      </c>
    </row>
    <row r="38" spans="1:18">
      <c r="A38" s="7"/>
      <c r="B38" s="7"/>
      <c r="C38" s="8"/>
      <c r="D38" s="8"/>
      <c r="E38" s="8"/>
      <c r="F38" s="8"/>
      <c r="G38" s="7"/>
      <c r="H38" s="7"/>
      <c r="I38" s="8">
        <v>73</v>
      </c>
      <c r="J38" s="7"/>
      <c r="K38" s="8"/>
      <c r="L38" s="8"/>
      <c r="M38" s="8"/>
      <c r="N38" s="8"/>
      <c r="O38" s="8"/>
      <c r="P38" s="9"/>
      <c r="Q38" s="9"/>
      <c r="R38" s="8">
        <v>35</v>
      </c>
    </row>
    <row r="39" spans="1:18">
      <c r="A39" s="7"/>
      <c r="B39" s="7"/>
      <c r="C39" s="8"/>
      <c r="D39" s="8"/>
      <c r="E39" s="8"/>
      <c r="F39" s="8"/>
      <c r="G39" s="7"/>
      <c r="H39" s="7"/>
      <c r="I39" s="8">
        <v>74</v>
      </c>
      <c r="J39" s="7"/>
      <c r="K39" s="8"/>
      <c r="L39" s="8"/>
      <c r="M39" s="8"/>
      <c r="N39" s="8"/>
      <c r="O39" s="8"/>
      <c r="P39" s="9"/>
      <c r="Q39" s="9"/>
      <c r="R39" s="8">
        <v>36</v>
      </c>
    </row>
    <row r="40" spans="1:18">
      <c r="A40" s="7"/>
      <c r="B40" s="7"/>
      <c r="C40" s="8"/>
      <c r="D40" s="8"/>
      <c r="E40" s="8"/>
      <c r="F40" s="8"/>
      <c r="G40" s="7"/>
      <c r="H40" s="7"/>
      <c r="I40" s="8">
        <v>75</v>
      </c>
      <c r="J40" s="7"/>
      <c r="K40" s="8"/>
      <c r="L40" s="8"/>
      <c r="M40" s="8"/>
      <c r="N40" s="8"/>
      <c r="O40" s="8"/>
      <c r="P40" s="9"/>
      <c r="Q40" s="9"/>
      <c r="R40" s="8">
        <v>37</v>
      </c>
    </row>
    <row r="41" spans="1:18">
      <c r="A41" s="7"/>
      <c r="B41" s="7"/>
      <c r="C41" s="8"/>
      <c r="D41" s="8"/>
      <c r="E41" s="8"/>
      <c r="F41" s="8"/>
      <c r="G41" s="7"/>
      <c r="H41" s="7"/>
      <c r="I41" s="8">
        <v>76</v>
      </c>
      <c r="J41" s="7"/>
      <c r="K41" s="8"/>
      <c r="L41" s="8"/>
      <c r="M41" s="8"/>
      <c r="N41" s="8"/>
      <c r="O41" s="8"/>
      <c r="P41" s="9"/>
      <c r="Q41" s="9"/>
      <c r="R41" s="8">
        <v>38</v>
      </c>
    </row>
    <row r="42" spans="1:18">
      <c r="A42" s="44" t="s">
        <v>74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</row>
    <row r="43" spans="1:18">
      <c r="E43" s="11" t="s">
        <v>75</v>
      </c>
      <c r="M43" s="4" t="s">
        <v>76</v>
      </c>
    </row>
  </sheetData>
  <mergeCells count="30">
    <mergeCell ref="A1:R1"/>
    <mergeCell ref="A2:R2"/>
    <mergeCell ref="A3:R3"/>
    <mergeCell ref="A4:R4"/>
    <mergeCell ref="A5:R5"/>
    <mergeCell ref="A6:R6"/>
    <mergeCell ref="B7:D7"/>
    <mergeCell ref="G7:I7"/>
    <mergeCell ref="L7:O7"/>
    <mergeCell ref="A9:D9"/>
    <mergeCell ref="E9:F9"/>
    <mergeCell ref="H9:J9"/>
    <mergeCell ref="L9:O9"/>
    <mergeCell ref="P9:Q9"/>
    <mergeCell ref="A42:R42"/>
    <mergeCell ref="A10:R10"/>
    <mergeCell ref="A11:A12"/>
    <mergeCell ref="B11:C11"/>
    <mergeCell ref="D11:D12"/>
    <mergeCell ref="E11:E12"/>
    <mergeCell ref="F11:F12"/>
    <mergeCell ref="G11:H11"/>
    <mergeCell ref="I11:I12"/>
    <mergeCell ref="J11:J12"/>
    <mergeCell ref="K11:L11"/>
    <mergeCell ref="M11:M12"/>
    <mergeCell ref="N11:N12"/>
    <mergeCell ref="O11:O12"/>
    <mergeCell ref="P11:Q11"/>
    <mergeCell ref="R11:R12"/>
  </mergeCells>
  <pageMargins left="0.29166666666666702" right="0.375" top="0.15625" bottom="0.114583333333333" header="0.511811023622047" footer="0.511811023622047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"/>
  <sheetViews>
    <sheetView tabSelected="1" zoomScale="85" zoomScaleNormal="85" workbookViewId="0">
      <selection activeCell="V9" sqref="V9"/>
    </sheetView>
  </sheetViews>
  <sheetFormatPr defaultColWidth="9.1796875" defaultRowHeight="14.5"/>
  <cols>
    <col min="1" max="1" width="12.1796875" customWidth="1"/>
    <col min="2" max="2" width="14.36328125" customWidth="1"/>
    <col min="3" max="3" width="4.7265625" style="1" bestFit="1" customWidth="1"/>
    <col min="4" max="4" width="5.1796875" style="1" bestFit="1" customWidth="1"/>
    <col min="5" max="5" width="3.81640625" style="1" customWidth="1"/>
    <col min="6" max="16" width="3.81640625" customWidth="1"/>
    <col min="17" max="17" width="17.81640625" bestFit="1" customWidth="1"/>
    <col min="18" max="18" width="10.54296875" bestFit="1" customWidth="1"/>
    <col min="19" max="19" width="4.1796875" bestFit="1" customWidth="1"/>
  </cols>
  <sheetData>
    <row r="1" spans="1:5" ht="15.75" customHeight="1">
      <c r="A1" s="15" t="s">
        <v>151</v>
      </c>
      <c r="B1" s="15" t="s">
        <v>26</v>
      </c>
      <c r="C1"/>
      <c r="D1"/>
      <c r="E1"/>
    </row>
    <row r="2" spans="1:5" ht="15.75" customHeight="1">
      <c r="A2" s="9" t="s">
        <v>28</v>
      </c>
      <c r="B2" s="9" t="s">
        <v>29</v>
      </c>
      <c r="C2"/>
      <c r="D2"/>
      <c r="E2"/>
    </row>
    <row r="3" spans="1:5" ht="15.75" customHeight="1">
      <c r="A3" s="9" t="s">
        <v>30</v>
      </c>
      <c r="B3" s="9" t="s">
        <v>31</v>
      </c>
      <c r="C3"/>
      <c r="D3"/>
      <c r="E3"/>
    </row>
    <row r="4" spans="1:5" ht="15.75" customHeight="1">
      <c r="A4" s="9" t="s">
        <v>33</v>
      </c>
      <c r="B4" s="9" t="s">
        <v>34</v>
      </c>
      <c r="C4"/>
      <c r="D4"/>
      <c r="E4"/>
    </row>
    <row r="5" spans="1:5" ht="16.5" customHeight="1">
      <c r="A5" s="9" t="s">
        <v>36</v>
      </c>
      <c r="B5" s="9" t="s">
        <v>37</v>
      </c>
      <c r="C5"/>
      <c r="D5"/>
      <c r="E5"/>
    </row>
    <row r="6" spans="1:5" ht="16.5" customHeight="1">
      <c r="A6" s="9" t="s">
        <v>39</v>
      </c>
      <c r="B6" s="9" t="s">
        <v>40</v>
      </c>
      <c r="C6"/>
      <c r="D6"/>
      <c r="E6"/>
    </row>
    <row r="7" spans="1:5" ht="15.75" customHeight="1">
      <c r="A7" s="9" t="s">
        <v>42</v>
      </c>
      <c r="B7" s="9" t="s">
        <v>43</v>
      </c>
      <c r="C7"/>
      <c r="D7"/>
      <c r="E7"/>
    </row>
    <row r="8" spans="1:5" ht="15.75" customHeight="1">
      <c r="A8" s="9" t="s">
        <v>45</v>
      </c>
      <c r="B8" s="9" t="s">
        <v>46</v>
      </c>
      <c r="C8"/>
      <c r="D8"/>
      <c r="E8" s="19" t="s">
        <v>152</v>
      </c>
    </row>
    <row r="9" spans="1:5" ht="94.5" customHeight="1">
      <c r="A9" s="9" t="s">
        <v>48</v>
      </c>
      <c r="B9" s="9" t="s">
        <v>49</v>
      </c>
      <c r="C9"/>
      <c r="D9"/>
      <c r="E9"/>
    </row>
    <row r="10" spans="1:5">
      <c r="A10" s="9" t="s">
        <v>51</v>
      </c>
      <c r="B10" s="9" t="s">
        <v>52</v>
      </c>
      <c r="C10"/>
      <c r="D10"/>
      <c r="E10"/>
    </row>
    <row r="11" spans="1:5">
      <c r="A11" s="9" t="s">
        <v>54</v>
      </c>
      <c r="B11" s="9" t="s">
        <v>55</v>
      </c>
      <c r="C11"/>
      <c r="D11"/>
      <c r="E11"/>
    </row>
    <row r="12" spans="1:5">
      <c r="A12" s="9" t="s">
        <v>56</v>
      </c>
      <c r="B12" s="9" t="s">
        <v>57</v>
      </c>
      <c r="C12"/>
      <c r="D12"/>
      <c r="E12"/>
    </row>
    <row r="13" spans="1:5">
      <c r="A13" s="9" t="s">
        <v>58</v>
      </c>
      <c r="B13" s="9" t="s">
        <v>59</v>
      </c>
      <c r="C13"/>
      <c r="D13"/>
      <c r="E13"/>
    </row>
    <row r="14" spans="1:5">
      <c r="A14" s="9" t="s">
        <v>61</v>
      </c>
      <c r="B14" s="9" t="s">
        <v>62</v>
      </c>
      <c r="C14"/>
      <c r="D14"/>
      <c r="E14"/>
    </row>
    <row r="15" spans="1:5">
      <c r="A15" s="9" t="s">
        <v>64</v>
      </c>
      <c r="B15" s="9" t="s">
        <v>65</v>
      </c>
      <c r="C15"/>
      <c r="D15"/>
      <c r="E15"/>
    </row>
    <row r="16" spans="1:5">
      <c r="A16" s="9" t="s">
        <v>54</v>
      </c>
      <c r="B16" s="9" t="s">
        <v>67</v>
      </c>
      <c r="C16"/>
      <c r="D16"/>
      <c r="E16"/>
    </row>
    <row r="17" spans="1:5">
      <c r="A17" s="9" t="s">
        <v>68</v>
      </c>
      <c r="B17" s="9" t="s">
        <v>69</v>
      </c>
      <c r="C17"/>
      <c r="D17"/>
      <c r="E17"/>
    </row>
    <row r="18" spans="1:5">
      <c r="A18" s="9" t="s">
        <v>70</v>
      </c>
      <c r="B18" s="9" t="s">
        <v>71</v>
      </c>
      <c r="C18"/>
      <c r="D18"/>
      <c r="E18"/>
    </row>
    <row r="19" spans="1:5" ht="15.75" customHeight="1">
      <c r="A19" s="9" t="s">
        <v>72</v>
      </c>
      <c r="B19" s="9" t="s">
        <v>73</v>
      </c>
      <c r="C19"/>
      <c r="D19"/>
      <c r="E19"/>
    </row>
    <row r="20" spans="1:5">
      <c r="C20"/>
      <c r="D20"/>
      <c r="E20"/>
    </row>
    <row r="21" spans="1:5">
      <c r="C21"/>
      <c r="D21"/>
      <c r="E21"/>
    </row>
    <row r="22" spans="1:5">
      <c r="C22"/>
      <c r="D22"/>
      <c r="E22"/>
    </row>
    <row r="23" spans="1:5">
      <c r="C23"/>
      <c r="D23"/>
      <c r="E23"/>
    </row>
    <row r="24" spans="1:5">
      <c r="C24"/>
      <c r="D24"/>
      <c r="E24"/>
    </row>
    <row r="25" spans="1:5">
      <c r="C25"/>
      <c r="D25"/>
      <c r="E25"/>
    </row>
    <row r="26" spans="1:5">
      <c r="C26"/>
      <c r="D26"/>
      <c r="E26"/>
    </row>
    <row r="27" spans="1:5">
      <c r="C27"/>
      <c r="D27"/>
      <c r="E27"/>
    </row>
    <row r="28" spans="1:5">
      <c r="C28"/>
      <c r="D28"/>
      <c r="E28"/>
    </row>
    <row r="29" spans="1:5">
      <c r="C29"/>
      <c r="D29"/>
      <c r="E29"/>
    </row>
    <row r="30" spans="1:5">
      <c r="C30"/>
      <c r="D30"/>
      <c r="E30"/>
    </row>
    <row r="31" spans="1:5">
      <c r="C31"/>
      <c r="D31"/>
      <c r="E31"/>
    </row>
    <row r="32" spans="1:5">
      <c r="C32"/>
      <c r="D32"/>
      <c r="E32"/>
    </row>
    <row r="33" spans="3:5">
      <c r="C33"/>
      <c r="D33"/>
      <c r="E33"/>
    </row>
    <row r="34" spans="3:5">
      <c r="C34"/>
      <c r="D34"/>
      <c r="E34"/>
    </row>
  </sheetData>
  <pageMargins left="0.35416666666666669" right="0.41666666666666669" top="0.375" bottom="0.41666666666666669" header="0.3" footer="0.3"/>
  <pageSetup paperSize="9" fitToHeight="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8"/>
  <sheetViews>
    <sheetView topLeftCell="A12" zoomScaleNormal="100" workbookViewId="0">
      <selection activeCell="Q30" sqref="Q30"/>
    </sheetView>
  </sheetViews>
  <sheetFormatPr defaultColWidth="9.1796875" defaultRowHeight="14.5"/>
  <cols>
    <col min="1" max="1" width="6.54296875" customWidth="1"/>
    <col min="2" max="2" width="5.81640625" customWidth="1"/>
    <col min="3" max="3" width="7.1796875" style="1" customWidth="1"/>
    <col min="4" max="4" width="5.54296875" style="1" customWidth="1"/>
    <col min="5" max="5" width="4.453125" style="1" customWidth="1"/>
    <col min="6" max="16" width="4.453125" customWidth="1"/>
    <col min="17" max="18" width="14.26953125" customWidth="1"/>
    <col min="19" max="19" width="3.7265625" customWidth="1"/>
  </cols>
  <sheetData>
    <row r="1" spans="1:19" ht="15.75" customHeight="1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</row>
    <row r="2" spans="1:19" ht="15.75" customHeight="1">
      <c r="A2" s="29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</row>
    <row r="3" spans="1:19" ht="15.75" customHeight="1">
      <c r="A3" s="29" t="s">
        <v>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</row>
    <row r="4" spans="1:19" ht="15.75" customHeight="1">
      <c r="A4" s="29" t="s">
        <v>3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</row>
    <row r="5" spans="1:19" ht="16.5" customHeight="1">
      <c r="A5" s="36" t="s">
        <v>130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</row>
    <row r="6" spans="1:19" ht="16.5" customHeight="1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</row>
    <row r="7" spans="1:19" ht="15.75" customHeight="1">
      <c r="A7" s="48" t="s">
        <v>131</v>
      </c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</row>
    <row r="8" spans="1:19" ht="15.75" customHeight="1">
      <c r="A8" s="49" t="s">
        <v>132</v>
      </c>
      <c r="B8" s="50" t="s">
        <v>133</v>
      </c>
      <c r="C8" s="51" t="s">
        <v>134</v>
      </c>
      <c r="D8" s="51"/>
      <c r="E8" s="52" t="s">
        <v>135</v>
      </c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3" t="s">
        <v>21</v>
      </c>
      <c r="R8" s="53"/>
      <c r="S8" s="54" t="s">
        <v>136</v>
      </c>
    </row>
    <row r="9" spans="1:19" ht="94.5" customHeight="1">
      <c r="A9" s="49"/>
      <c r="B9" s="49"/>
      <c r="C9" s="13" t="s">
        <v>137</v>
      </c>
      <c r="D9" s="13" t="s">
        <v>138</v>
      </c>
      <c r="E9" s="14" t="s">
        <v>139</v>
      </c>
      <c r="F9" s="13" t="s">
        <v>140</v>
      </c>
      <c r="G9" s="13" t="s">
        <v>141</v>
      </c>
      <c r="H9" s="13" t="s">
        <v>142</v>
      </c>
      <c r="I9" s="13" t="s">
        <v>143</v>
      </c>
      <c r="J9" s="13" t="s">
        <v>144</v>
      </c>
      <c r="K9" s="13" t="s">
        <v>145</v>
      </c>
      <c r="L9" s="13" t="s">
        <v>146</v>
      </c>
      <c r="M9" s="13" t="s">
        <v>147</v>
      </c>
      <c r="N9" s="13" t="s">
        <v>148</v>
      </c>
      <c r="O9" s="13" t="s">
        <v>149</v>
      </c>
      <c r="P9" s="13" t="s">
        <v>150</v>
      </c>
      <c r="Q9" s="15" t="s">
        <v>151</v>
      </c>
      <c r="R9" s="15" t="s">
        <v>26</v>
      </c>
      <c r="S9" s="54"/>
    </row>
    <row r="10" spans="1:19" ht="15.75" customHeight="1">
      <c r="A10" s="21"/>
      <c r="B10" s="22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23"/>
      <c r="O10" s="23"/>
      <c r="P10" s="23"/>
      <c r="Q10" s="24"/>
      <c r="R10" s="24"/>
      <c r="S10" s="25"/>
    </row>
    <row r="11" spans="1:19">
      <c r="A11" s="7"/>
      <c r="B11" s="7"/>
      <c r="C11" s="8" t="e">
        <f t="shared" ref="C11:C48" si="0">D11/12</f>
        <v>#REF!</v>
      </c>
      <c r="D11" s="8" t="e">
        <f t="shared" ref="D11:D48" si="1">SUM(E11:P11)</f>
        <v>#REF!</v>
      </c>
      <c r="E11" s="16" t="e">
        <f>PHC!#REF!</f>
        <v>#REF!</v>
      </c>
      <c r="F11" s="16" t="e">
        <f>مایکروبیولوژی!#REF!</f>
        <v>#REF!</v>
      </c>
      <c r="G11" s="16" t="e">
        <f>'متحرک پروتیز'!#REF!</f>
        <v>#REF!</v>
      </c>
      <c r="H11" s="16" t="e">
        <f>'اناټومي فزیالوژی'!#REF!</f>
        <v>#REF!</v>
      </c>
      <c r="I11" s="16" t="e">
        <f>پتالوژی!#REF!</f>
        <v>#REF!</v>
      </c>
      <c r="J11" s="16" t="e">
        <f>'اختصاصي ترمینالوژی'!#REF!</f>
        <v>#REF!</v>
      </c>
      <c r="K11" s="16" t="e">
        <f>'اختصاصي لابراتوار'!#REF!</f>
        <v>#REF!</v>
      </c>
      <c r="L11" s="16" t="e">
        <f>'سامان پیژندنه'!#REF!</f>
        <v>#REF!</v>
      </c>
      <c r="M11" s="16" t="e">
        <f>مورفولوژی!#REF!</f>
        <v>#REF!</v>
      </c>
      <c r="N11" s="17" t="e">
        <f>'طبي انګلیسي'!#REF!</f>
        <v>#REF!</v>
      </c>
      <c r="O11" s="17" t="e">
        <f>'عمومي ترمینالوژی'!#REF!</f>
        <v>#REF!</v>
      </c>
      <c r="P11" s="17" t="e">
        <f>اسلامیات!#REF!</f>
        <v>#REF!</v>
      </c>
      <c r="Q11" s="9" t="s">
        <v>156</v>
      </c>
      <c r="R11" s="9" t="s">
        <v>157</v>
      </c>
      <c r="S11" s="18">
        <v>1</v>
      </c>
    </row>
    <row r="12" spans="1:19">
      <c r="A12" s="7"/>
      <c r="B12" s="7"/>
      <c r="C12" s="8">
        <f t="shared" si="0"/>
        <v>94.5</v>
      </c>
      <c r="D12" s="8">
        <f t="shared" si="1"/>
        <v>1134</v>
      </c>
      <c r="E12" s="16">
        <f>PHC!L25</f>
        <v>97</v>
      </c>
      <c r="F12" s="16">
        <f>مایکروبیولوژی!L25</f>
        <v>85</v>
      </c>
      <c r="G12" s="16">
        <f>'متحرک پروتیز'!L25</f>
        <v>97</v>
      </c>
      <c r="H12" s="16">
        <f>'اناټومي فزیالوژی'!L25</f>
        <v>100</v>
      </c>
      <c r="I12" s="16">
        <f>پتالوژی!L25</f>
        <v>98</v>
      </c>
      <c r="J12" s="16">
        <f>'اختصاصي ترمینالوژی'!L25</f>
        <v>94</v>
      </c>
      <c r="K12" s="16">
        <f>'اختصاصي لابراتوار'!L25</f>
        <v>83</v>
      </c>
      <c r="L12" s="16">
        <f>'سامان پیژندنه'!L25</f>
        <v>96</v>
      </c>
      <c r="M12" s="16">
        <f>مورفولوژی!L25</f>
        <v>95</v>
      </c>
      <c r="N12" s="17">
        <f>'طبي انګلیسي'!L25</f>
        <v>98</v>
      </c>
      <c r="O12" s="17">
        <f>'عمومي ترمینالوژی'!L25</f>
        <v>100</v>
      </c>
      <c r="P12" s="17">
        <f>اسلامیات!L25</f>
        <v>91</v>
      </c>
      <c r="Q12" s="9" t="s">
        <v>61</v>
      </c>
      <c r="R12" s="9" t="s">
        <v>62</v>
      </c>
      <c r="S12" s="18">
        <v>2</v>
      </c>
    </row>
    <row r="13" spans="1:19">
      <c r="A13" s="7"/>
      <c r="B13" s="7"/>
      <c r="C13" s="8">
        <f t="shared" si="0"/>
        <v>93</v>
      </c>
      <c r="D13" s="8">
        <f t="shared" si="1"/>
        <v>1116</v>
      </c>
      <c r="E13" s="16">
        <f>PHC!L16</f>
        <v>95</v>
      </c>
      <c r="F13" s="16">
        <f>مایکروبیولوژی!L16</f>
        <v>95</v>
      </c>
      <c r="G13" s="16">
        <f>'متحرک پروتیز'!L16</f>
        <v>94</v>
      </c>
      <c r="H13" s="16">
        <f>'اناټومي فزیالوژی'!L16</f>
        <v>90</v>
      </c>
      <c r="I13" s="16">
        <f>پتالوژی!L16</f>
        <v>88</v>
      </c>
      <c r="J13" s="16">
        <f>'اختصاصي ترمینالوژی'!L16</f>
        <v>92</v>
      </c>
      <c r="K13" s="16">
        <f>'اختصاصي لابراتوار'!L16</f>
        <v>84</v>
      </c>
      <c r="L13" s="16">
        <f>'سامان پیژندنه'!L16</f>
        <v>96</v>
      </c>
      <c r="M13" s="16">
        <f>مورفولوژی!L16</f>
        <v>89</v>
      </c>
      <c r="N13" s="17">
        <f>'طبي انګلیسي'!L16</f>
        <v>98</v>
      </c>
      <c r="O13" s="17">
        <f>'عمومي ترمینالوژی'!L16</f>
        <v>100</v>
      </c>
      <c r="P13" s="17">
        <f>اسلامیات!L16</f>
        <v>95</v>
      </c>
      <c r="Q13" s="9" t="s">
        <v>36</v>
      </c>
      <c r="R13" s="9" t="s">
        <v>37</v>
      </c>
      <c r="S13" s="18">
        <v>3</v>
      </c>
    </row>
    <row r="14" spans="1:19">
      <c r="A14" s="7"/>
      <c r="B14" s="7"/>
      <c r="C14" s="8">
        <f t="shared" si="0"/>
        <v>92.333333333333329</v>
      </c>
      <c r="D14" s="8">
        <f t="shared" si="1"/>
        <v>1108</v>
      </c>
      <c r="E14" s="16">
        <f>PHC!L20</f>
        <v>93</v>
      </c>
      <c r="F14" s="16">
        <f>مایکروبیولوژی!L20</f>
        <v>95</v>
      </c>
      <c r="G14" s="16">
        <f>'متحرک پروتیز'!L20</f>
        <v>94</v>
      </c>
      <c r="H14" s="16">
        <f>'اناټومي فزیالوژی'!L20</f>
        <v>100</v>
      </c>
      <c r="I14" s="16">
        <f>پتالوژی!L20</f>
        <v>89</v>
      </c>
      <c r="J14" s="16">
        <f>'اختصاصي ترمینالوژی'!L20</f>
        <v>94</v>
      </c>
      <c r="K14" s="16">
        <f>'اختصاصي لابراتوار'!L20</f>
        <v>81</v>
      </c>
      <c r="L14" s="16">
        <f>'سامان پیژندنه'!L20</f>
        <v>96</v>
      </c>
      <c r="M14" s="16">
        <f>مورفولوژی!L20</f>
        <v>92</v>
      </c>
      <c r="N14" s="17">
        <f>'طبي انګلیسي'!L20</f>
        <v>90</v>
      </c>
      <c r="O14" s="17">
        <f>'عمومي ترمینالوژی'!L20</f>
        <v>90</v>
      </c>
      <c r="P14" s="17">
        <f>اسلامیات!L20</f>
        <v>94</v>
      </c>
      <c r="Q14" s="9" t="s">
        <v>48</v>
      </c>
      <c r="R14" s="9" t="s">
        <v>49</v>
      </c>
      <c r="S14" s="18">
        <v>4</v>
      </c>
    </row>
    <row r="15" spans="1:19">
      <c r="A15" s="7"/>
      <c r="B15" s="7"/>
      <c r="C15" s="8">
        <f t="shared" si="0"/>
        <v>89.5</v>
      </c>
      <c r="D15" s="8">
        <f t="shared" si="1"/>
        <v>1074</v>
      </c>
      <c r="E15" s="16">
        <f>PHC!L17</f>
        <v>93</v>
      </c>
      <c r="F15" s="16">
        <f>مایکروبیولوژی!L17</f>
        <v>83</v>
      </c>
      <c r="G15" s="16">
        <f>'متحرک پروتیز'!L17</f>
        <v>89</v>
      </c>
      <c r="H15" s="16">
        <f>'اناټومي فزیالوژی'!L17</f>
        <v>100</v>
      </c>
      <c r="I15" s="16">
        <f>پتالوژی!L17</f>
        <v>88</v>
      </c>
      <c r="J15" s="16">
        <f>'اختصاصي ترمینالوژی'!L17</f>
        <v>88</v>
      </c>
      <c r="K15" s="16">
        <f>'اختصاصي لابراتوار'!L17</f>
        <v>74</v>
      </c>
      <c r="L15" s="16">
        <f>'سامان پیژندنه'!L17</f>
        <v>93</v>
      </c>
      <c r="M15" s="16">
        <f>مورفولوژی!L17</f>
        <v>96</v>
      </c>
      <c r="N15" s="17">
        <f>'طبي انګلیسي'!L17</f>
        <v>90</v>
      </c>
      <c r="O15" s="17">
        <f>'عمومي ترمینالوژی'!L17</f>
        <v>92</v>
      </c>
      <c r="P15" s="17">
        <f>اسلامیات!L17</f>
        <v>88</v>
      </c>
      <c r="Q15" s="9" t="s">
        <v>39</v>
      </c>
      <c r="R15" s="9" t="s">
        <v>40</v>
      </c>
      <c r="S15" s="18">
        <v>5</v>
      </c>
    </row>
    <row r="16" spans="1:19">
      <c r="A16" s="7"/>
      <c r="B16" s="7"/>
      <c r="C16" s="8" t="e">
        <f t="shared" si="0"/>
        <v>#REF!</v>
      </c>
      <c r="D16" s="8" t="e">
        <f t="shared" si="1"/>
        <v>#REF!</v>
      </c>
      <c r="E16" s="16" t="e">
        <f>PHC!#REF!</f>
        <v>#REF!</v>
      </c>
      <c r="F16" s="16" t="e">
        <f>مایکروبیولوژی!#REF!</f>
        <v>#REF!</v>
      </c>
      <c r="G16" s="16" t="e">
        <f>'متحرک پروتیز'!#REF!</f>
        <v>#REF!</v>
      </c>
      <c r="H16" s="16" t="e">
        <f>'اناټومي فزیالوژی'!#REF!</f>
        <v>#REF!</v>
      </c>
      <c r="I16" s="16" t="e">
        <f>پتالوژی!#REF!</f>
        <v>#REF!</v>
      </c>
      <c r="J16" s="16" t="e">
        <f>'اختصاصي ترمینالوژی'!#REF!</f>
        <v>#REF!</v>
      </c>
      <c r="K16" s="16" t="e">
        <f>'اختصاصي لابراتوار'!#REF!</f>
        <v>#REF!</v>
      </c>
      <c r="L16" s="16" t="e">
        <f>'سامان پیژندنه'!#REF!</f>
        <v>#REF!</v>
      </c>
      <c r="M16" s="16" t="e">
        <f>مورفولوژی!#REF!</f>
        <v>#REF!</v>
      </c>
      <c r="N16" s="17" t="e">
        <f>'طبي انګلیسي'!#REF!</f>
        <v>#REF!</v>
      </c>
      <c r="O16" s="17" t="e">
        <f>'عمومي ترمینالوژی'!#REF!</f>
        <v>#REF!</v>
      </c>
      <c r="P16" s="17" t="e">
        <f>اسلامیات!#REF!</f>
        <v>#REF!</v>
      </c>
      <c r="Q16" s="9" t="s">
        <v>154</v>
      </c>
      <c r="R16" s="9" t="s">
        <v>155</v>
      </c>
      <c r="S16" s="18">
        <v>6</v>
      </c>
    </row>
    <row r="17" spans="1:19">
      <c r="A17" s="7"/>
      <c r="B17" s="7"/>
      <c r="C17" s="8">
        <f t="shared" si="0"/>
        <v>83.916666666666671</v>
      </c>
      <c r="D17" s="8">
        <f t="shared" si="1"/>
        <v>1007</v>
      </c>
      <c r="E17" s="16">
        <f>PHC!L26</f>
        <v>85</v>
      </c>
      <c r="F17" s="16">
        <f>مایکروبیولوژی!L26</f>
        <v>87</v>
      </c>
      <c r="G17" s="16">
        <f>'متحرک پروتیز'!L26</f>
        <v>93</v>
      </c>
      <c r="H17" s="16">
        <f>'اناټومي فزیالوژی'!L26</f>
        <v>83</v>
      </c>
      <c r="I17" s="16">
        <f>پتالوژی!L26</f>
        <v>86</v>
      </c>
      <c r="J17" s="16">
        <f>'اختصاصي ترمینالوژی'!L26</f>
        <v>85</v>
      </c>
      <c r="K17" s="16">
        <f>'اختصاصي لابراتوار'!L26</f>
        <v>71</v>
      </c>
      <c r="L17" s="16">
        <f>'سامان پیژندنه'!L26</f>
        <v>82</v>
      </c>
      <c r="M17" s="16">
        <f>مورفولوژی!L26</f>
        <v>95</v>
      </c>
      <c r="N17" s="17">
        <f>'طبي انګلیسي'!L26</f>
        <v>70</v>
      </c>
      <c r="O17" s="17">
        <f>'عمومي ترمینالوژی'!L26</f>
        <v>88</v>
      </c>
      <c r="P17" s="17">
        <f>اسلامیات!L26</f>
        <v>82</v>
      </c>
      <c r="Q17" s="9" t="s">
        <v>64</v>
      </c>
      <c r="R17" s="9" t="s">
        <v>65</v>
      </c>
      <c r="S17" s="18">
        <v>7</v>
      </c>
    </row>
    <row r="18" spans="1:19">
      <c r="A18" s="7"/>
      <c r="B18" s="7"/>
      <c r="C18" s="8">
        <f t="shared" si="0"/>
        <v>74.833333333333329</v>
      </c>
      <c r="D18" s="8">
        <f t="shared" si="1"/>
        <v>898</v>
      </c>
      <c r="E18" s="16">
        <f>PHC!L28</f>
        <v>85</v>
      </c>
      <c r="F18" s="16">
        <f>مایکروبیولوژی!L28</f>
        <v>80</v>
      </c>
      <c r="G18" s="16">
        <f>'متحرک پروتیز'!L28</f>
        <v>80</v>
      </c>
      <c r="H18" s="16">
        <f>'اناټومي فزیالوژی'!L28</f>
        <v>72</v>
      </c>
      <c r="I18" s="16">
        <f>پتالوژی!L28</f>
        <v>64</v>
      </c>
      <c r="J18" s="16">
        <f>'اختصاصي ترمینالوژی'!L28</f>
        <v>85</v>
      </c>
      <c r="K18" s="16">
        <f>'اختصاصي لابراتوار'!L28</f>
        <v>60</v>
      </c>
      <c r="L18" s="16">
        <f>'سامان پیژندنه'!L28</f>
        <v>84</v>
      </c>
      <c r="M18" s="16">
        <f>مورفولوژی!L28</f>
        <v>68</v>
      </c>
      <c r="N18" s="17">
        <f>'طبي انګلیسي'!L28</f>
        <v>70</v>
      </c>
      <c r="O18" s="17">
        <f>'عمومي ترمینالوژی'!L28</f>
        <v>70</v>
      </c>
      <c r="P18" s="17">
        <f>اسلامیات!L28</f>
        <v>80</v>
      </c>
      <c r="Q18" s="9" t="s">
        <v>68</v>
      </c>
      <c r="R18" s="9" t="s">
        <v>69</v>
      </c>
      <c r="S18" s="18">
        <v>8</v>
      </c>
    </row>
    <row r="19" spans="1:19">
      <c r="A19" s="7"/>
      <c r="B19" s="7"/>
      <c r="C19" s="8">
        <f t="shared" si="0"/>
        <v>78.5</v>
      </c>
      <c r="D19" s="8">
        <f t="shared" si="1"/>
        <v>942</v>
      </c>
      <c r="E19" s="16">
        <f>PHC!L15</f>
        <v>85</v>
      </c>
      <c r="F19" s="16">
        <f>مایکروبیولوژی!L15</f>
        <v>77</v>
      </c>
      <c r="G19" s="16">
        <f>'متحرک پروتیز'!L15</f>
        <v>85</v>
      </c>
      <c r="H19" s="16">
        <f>'اناټومي فزیالوژی'!L15</f>
        <v>65</v>
      </c>
      <c r="I19" s="16">
        <f>پتالوژی!L15</f>
        <v>90</v>
      </c>
      <c r="J19" s="16">
        <f>'اختصاصي ترمینالوژی'!L15</f>
        <v>70</v>
      </c>
      <c r="K19" s="16">
        <f>'اختصاصي لابراتوار'!L15</f>
        <v>65</v>
      </c>
      <c r="L19" s="16">
        <f>'سامان پیژندنه'!L15</f>
        <v>99</v>
      </c>
      <c r="M19" s="16">
        <f>مورفولوژی!L15</f>
        <v>56</v>
      </c>
      <c r="N19" s="17">
        <f>'طبي انګلیسي'!L15</f>
        <v>98</v>
      </c>
      <c r="O19" s="17">
        <f>'عمومي ترمینالوژی'!L15</f>
        <v>60</v>
      </c>
      <c r="P19" s="17">
        <f>اسلامیات!L15</f>
        <v>92</v>
      </c>
      <c r="Q19" s="9" t="s">
        <v>33</v>
      </c>
      <c r="R19" s="9" t="s">
        <v>34</v>
      </c>
      <c r="S19" s="18">
        <v>9</v>
      </c>
    </row>
    <row r="20" spans="1:19">
      <c r="A20" s="7"/>
      <c r="B20" s="7"/>
      <c r="C20" s="8" t="e">
        <f t="shared" si="0"/>
        <v>#REF!</v>
      </c>
      <c r="D20" s="8" t="e">
        <f t="shared" si="1"/>
        <v>#REF!</v>
      </c>
      <c r="E20" s="16" t="e">
        <f>PHC!#REF!</f>
        <v>#REF!</v>
      </c>
      <c r="F20" s="16" t="e">
        <f>مایکروبیولوژی!#REF!</f>
        <v>#REF!</v>
      </c>
      <c r="G20" s="16" t="e">
        <f>'متحرک پروتیز'!#REF!</f>
        <v>#REF!</v>
      </c>
      <c r="H20" s="16" t="e">
        <f>'اناټومي فزیالوژی'!#REF!</f>
        <v>#REF!</v>
      </c>
      <c r="I20" s="16" t="e">
        <f>پتالوژی!#REF!</f>
        <v>#REF!</v>
      </c>
      <c r="J20" s="16" t="e">
        <f>'اختصاصي ترمینالوژی'!#REF!</f>
        <v>#REF!</v>
      </c>
      <c r="K20" s="16" t="e">
        <f>'اختصاصي لابراتوار'!#REF!</f>
        <v>#REF!</v>
      </c>
      <c r="L20" s="16" t="e">
        <f>'سامان پیژندنه'!#REF!</f>
        <v>#REF!</v>
      </c>
      <c r="M20" s="16" t="e">
        <f>مورفولوژی!#REF!</f>
        <v>#REF!</v>
      </c>
      <c r="N20" s="17" t="e">
        <f>'طبي انګلیسي'!#REF!</f>
        <v>#REF!</v>
      </c>
      <c r="O20" s="17" t="e">
        <f>'عمومي ترمینالوژی'!#REF!</f>
        <v>#REF!</v>
      </c>
      <c r="P20" s="17" t="e">
        <f>اسلامیات!#REF!</f>
        <v>#REF!</v>
      </c>
      <c r="Q20" s="9" t="s">
        <v>153</v>
      </c>
      <c r="R20" s="9" t="s">
        <v>34</v>
      </c>
      <c r="S20" s="18">
        <v>10</v>
      </c>
    </row>
    <row r="21" spans="1:19">
      <c r="A21" s="7"/>
      <c r="B21" s="7"/>
      <c r="C21" s="8" t="e">
        <f t="shared" si="0"/>
        <v>#REF!</v>
      </c>
      <c r="D21" s="8" t="e">
        <f t="shared" si="1"/>
        <v>#REF!</v>
      </c>
      <c r="E21" s="16" t="e">
        <f>PHC!#REF!</f>
        <v>#REF!</v>
      </c>
      <c r="F21" s="16" t="e">
        <f>مایکروبیولوژی!#REF!</f>
        <v>#REF!</v>
      </c>
      <c r="G21" s="16" t="e">
        <f>'متحرک پروتیز'!#REF!</f>
        <v>#REF!</v>
      </c>
      <c r="H21" s="16" t="e">
        <f>'اناټومي فزیالوژی'!#REF!</f>
        <v>#REF!</v>
      </c>
      <c r="I21" s="16" t="e">
        <f>پتالوژی!#REF!</f>
        <v>#REF!</v>
      </c>
      <c r="J21" s="16" t="e">
        <f>'اختصاصي ترمینالوژی'!#REF!</f>
        <v>#REF!</v>
      </c>
      <c r="K21" s="16" t="e">
        <f>'اختصاصي لابراتوار'!#REF!</f>
        <v>#REF!</v>
      </c>
      <c r="L21" s="16" t="e">
        <f>'سامان پیژندنه'!#REF!</f>
        <v>#REF!</v>
      </c>
      <c r="M21" s="16" t="e">
        <f>مورفولوژی!#REF!</f>
        <v>#REF!</v>
      </c>
      <c r="N21" s="17" t="e">
        <f>'طبي انګلیسي'!#REF!</f>
        <v>#REF!</v>
      </c>
      <c r="O21" s="17" t="e">
        <f>'عمومي ترمینالوژی'!#REF!</f>
        <v>#REF!</v>
      </c>
      <c r="P21" s="17" t="e">
        <f>اسلامیات!#REF!</f>
        <v>#REF!</v>
      </c>
      <c r="Q21" s="9" t="s">
        <v>68</v>
      </c>
      <c r="R21" s="9" t="s">
        <v>69</v>
      </c>
      <c r="S21" s="18">
        <v>11</v>
      </c>
    </row>
    <row r="22" spans="1:19">
      <c r="A22" s="7"/>
      <c r="B22" s="7"/>
      <c r="C22" s="8">
        <f t="shared" si="0"/>
        <v>85.5</v>
      </c>
      <c r="D22" s="8">
        <f t="shared" si="1"/>
        <v>1026</v>
      </c>
      <c r="E22" s="16">
        <f>PHC!L18</f>
        <v>88</v>
      </c>
      <c r="F22" s="16">
        <f>مایکروبیولوژی!L18</f>
        <v>92</v>
      </c>
      <c r="G22" s="16">
        <f>'متحرک پروتیز'!L18</f>
        <v>95</v>
      </c>
      <c r="H22" s="16">
        <f>'اناټومي فزیالوژی'!L18</f>
        <v>82</v>
      </c>
      <c r="I22" s="16">
        <f>پتالوژی!L18</f>
        <v>71</v>
      </c>
      <c r="J22" s="16">
        <f>'اختصاصي ترمینالوژی'!L18</f>
        <v>98</v>
      </c>
      <c r="K22" s="16">
        <f>'اختصاصي لابراتوار'!L18</f>
        <v>94</v>
      </c>
      <c r="L22" s="16">
        <f>'سامان پیژندنه'!L18</f>
        <v>89</v>
      </c>
      <c r="M22" s="16">
        <f>مورفولوژی!L18</f>
        <v>82</v>
      </c>
      <c r="N22" s="17">
        <f>'طبي انګلیسي'!L18</f>
        <v>60</v>
      </c>
      <c r="O22" s="17">
        <f>'عمومي ترمینالوژی'!L18</f>
        <v>88</v>
      </c>
      <c r="P22" s="17">
        <f>اسلامیات!L18</f>
        <v>87</v>
      </c>
      <c r="Q22" s="9" t="s">
        <v>42</v>
      </c>
      <c r="R22" s="9" t="s">
        <v>43</v>
      </c>
      <c r="S22" s="18">
        <v>12</v>
      </c>
    </row>
    <row r="23" spans="1:19">
      <c r="A23" s="7"/>
      <c r="B23" s="7"/>
      <c r="C23" s="8">
        <f t="shared" si="0"/>
        <v>81.666666666666671</v>
      </c>
      <c r="D23" s="8">
        <f t="shared" si="1"/>
        <v>980</v>
      </c>
      <c r="E23" s="16">
        <f>PHC!L13</f>
        <v>85</v>
      </c>
      <c r="F23" s="16">
        <f>مایکروبیولوژی!L13</f>
        <v>84</v>
      </c>
      <c r="G23" s="16">
        <f>'متحرک پروتیز'!L13</f>
        <v>78</v>
      </c>
      <c r="H23" s="16">
        <f>'اناټومي فزیالوژی'!L13</f>
        <v>70</v>
      </c>
      <c r="I23" s="16">
        <f>پتالوژی!L13</f>
        <v>74</v>
      </c>
      <c r="J23" s="16">
        <f>'اختصاصي ترمینالوژی'!L13</f>
        <v>89</v>
      </c>
      <c r="K23" s="16">
        <f>'اختصاصي لابراتوار'!L13</f>
        <v>78</v>
      </c>
      <c r="L23" s="16">
        <f>'سامان پیژندنه'!L13</f>
        <v>82</v>
      </c>
      <c r="M23" s="16">
        <f>مورفولوژی!L13</f>
        <v>86</v>
      </c>
      <c r="N23" s="17">
        <f>'طبي انګلیسي'!L13</f>
        <v>83</v>
      </c>
      <c r="O23" s="17">
        <f>'عمومي ترمینالوژی'!L13</f>
        <v>91</v>
      </c>
      <c r="P23" s="17">
        <f>اسلامیات!L13</f>
        <v>80</v>
      </c>
      <c r="Q23" s="9" t="s">
        <v>28</v>
      </c>
      <c r="R23" s="9" t="s">
        <v>29</v>
      </c>
      <c r="S23" s="18">
        <v>13</v>
      </c>
    </row>
    <row r="24" spans="1:19">
      <c r="A24" s="7"/>
      <c r="B24" s="7"/>
      <c r="C24" s="8">
        <f t="shared" si="0"/>
        <v>85.916666666666671</v>
      </c>
      <c r="D24" s="8">
        <f t="shared" si="1"/>
        <v>1031</v>
      </c>
      <c r="E24" s="16">
        <f>PHC!L14</f>
        <v>89</v>
      </c>
      <c r="F24" s="16">
        <f>مایکروبیولوژی!L14</f>
        <v>93</v>
      </c>
      <c r="G24" s="16">
        <f>'متحرک پروتیز'!L14</f>
        <v>73</v>
      </c>
      <c r="H24" s="16">
        <f>'اناټومي فزیالوژی'!L14</f>
        <v>100</v>
      </c>
      <c r="I24" s="16">
        <f>پتالوژی!L14</f>
        <v>86</v>
      </c>
      <c r="J24" s="16">
        <f>'اختصاصي ترمینالوژی'!L14</f>
        <v>93</v>
      </c>
      <c r="K24" s="16">
        <f>'اختصاصي لابراتوار'!L14</f>
        <v>88</v>
      </c>
      <c r="L24" s="16">
        <f>'سامان پیژندنه'!L14</f>
        <v>92</v>
      </c>
      <c r="M24" s="16">
        <f>مورفولوژی!L14</f>
        <v>84</v>
      </c>
      <c r="N24" s="17">
        <f>'طبي انګلیسي'!L14</f>
        <v>77</v>
      </c>
      <c r="O24" s="17">
        <f>'عمومي ترمینالوژی'!L14</f>
        <v>76</v>
      </c>
      <c r="P24" s="17">
        <f>اسلامیات!L14</f>
        <v>80</v>
      </c>
      <c r="Q24" s="9" t="s">
        <v>30</v>
      </c>
      <c r="R24" s="9" t="s">
        <v>31</v>
      </c>
      <c r="S24" s="18">
        <v>14</v>
      </c>
    </row>
    <row r="25" spans="1:19">
      <c r="A25" s="7"/>
      <c r="B25" s="7"/>
      <c r="C25" s="8">
        <f t="shared" si="0"/>
        <v>83.083333333333329</v>
      </c>
      <c r="D25" s="8">
        <f t="shared" si="1"/>
        <v>997</v>
      </c>
      <c r="E25" s="16">
        <f>PHC!L19</f>
        <v>92</v>
      </c>
      <c r="F25" s="16">
        <f>مایکروبیولوژی!L19</f>
        <v>73</v>
      </c>
      <c r="G25" s="16">
        <f>'متحرک پروتیز'!L19</f>
        <v>86</v>
      </c>
      <c r="H25" s="16">
        <f>'اناټومي فزیالوژی'!L19</f>
        <v>83</v>
      </c>
      <c r="I25" s="16">
        <f>پتالوژی!L19</f>
        <v>73</v>
      </c>
      <c r="J25" s="16">
        <f>'اختصاصي ترمینالوژی'!L19</f>
        <v>75</v>
      </c>
      <c r="K25" s="16">
        <f>'اختصاصي لابراتوار'!L19</f>
        <v>100</v>
      </c>
      <c r="L25" s="16">
        <f>'سامان پیژندنه'!L19</f>
        <v>76</v>
      </c>
      <c r="M25" s="16">
        <f>مورفولوژی!L19</f>
        <v>99</v>
      </c>
      <c r="N25" s="17">
        <f>'طبي انګلیسي'!L19</f>
        <v>85</v>
      </c>
      <c r="O25" s="17">
        <f>'عمومي ترمینالوژی'!L19</f>
        <v>80</v>
      </c>
      <c r="P25" s="17">
        <f>اسلامیات!L19</f>
        <v>75</v>
      </c>
      <c r="Q25" s="9" t="s">
        <v>45</v>
      </c>
      <c r="R25" s="9" t="s">
        <v>46</v>
      </c>
      <c r="S25" s="18">
        <v>15</v>
      </c>
    </row>
    <row r="26" spans="1:19">
      <c r="A26" s="7"/>
      <c r="B26" s="7"/>
      <c r="C26" s="8">
        <f t="shared" si="0"/>
        <v>86.916666666666671</v>
      </c>
      <c r="D26" s="8">
        <f t="shared" si="1"/>
        <v>1043</v>
      </c>
      <c r="E26" s="16">
        <f>PHC!L21</f>
        <v>95</v>
      </c>
      <c r="F26" s="16">
        <f>مایکروبیولوژی!L21</f>
        <v>78</v>
      </c>
      <c r="G26" s="16">
        <f>'متحرک پروتیز'!L21</f>
        <v>89</v>
      </c>
      <c r="H26" s="16">
        <f>'اناټومي فزیالوژی'!L21</f>
        <v>88</v>
      </c>
      <c r="I26" s="16">
        <f>پتالوژی!L21</f>
        <v>77</v>
      </c>
      <c r="J26" s="16">
        <f>'اختصاصي ترمینالوژی'!L21</f>
        <v>97</v>
      </c>
      <c r="K26" s="16">
        <f>'اختصاصي لابراتوار'!L21</f>
        <v>91</v>
      </c>
      <c r="L26" s="16">
        <f>'سامان پیژندنه'!L21</f>
        <v>80</v>
      </c>
      <c r="M26" s="16">
        <f>مورفولوژی!L21</f>
        <v>78</v>
      </c>
      <c r="N26" s="17">
        <f>'طبي انګلیسي'!L21</f>
        <v>84</v>
      </c>
      <c r="O26" s="17">
        <f>'عمومي ترمینالوژی'!L21</f>
        <v>100</v>
      </c>
      <c r="P26" s="17">
        <f>اسلامیات!L21</f>
        <v>86</v>
      </c>
      <c r="Q26" s="9" t="s">
        <v>51</v>
      </c>
      <c r="R26" s="9" t="s">
        <v>52</v>
      </c>
      <c r="S26" s="18">
        <v>16</v>
      </c>
    </row>
    <row r="27" spans="1:19" ht="15.75" customHeight="1">
      <c r="A27" s="7"/>
      <c r="B27" s="7"/>
      <c r="C27" s="8">
        <f t="shared" si="0"/>
        <v>80</v>
      </c>
      <c r="D27" s="8">
        <f t="shared" si="1"/>
        <v>960</v>
      </c>
      <c r="E27" s="16">
        <f>PHC!L22</f>
        <v>86</v>
      </c>
      <c r="F27" s="16">
        <f>مایکروبیولوژی!L22</f>
        <v>85</v>
      </c>
      <c r="G27" s="16">
        <f>'متحرک پروتیز'!L22</f>
        <v>82</v>
      </c>
      <c r="H27" s="16">
        <f>'اناټومي فزیالوژی'!L22</f>
        <v>81</v>
      </c>
      <c r="I27" s="16">
        <f>پتالوژی!L22</f>
        <v>87</v>
      </c>
      <c r="J27" s="16">
        <f>'اختصاصي ترمینالوژی'!L22</f>
        <v>78</v>
      </c>
      <c r="K27" s="16">
        <f>'اختصاصي لابراتوار'!L22</f>
        <v>74</v>
      </c>
      <c r="L27" s="16">
        <f>'سامان پیژندنه'!L22</f>
        <v>80</v>
      </c>
      <c r="M27" s="16">
        <f>مورفولوژی!L22</f>
        <v>80</v>
      </c>
      <c r="N27" s="20">
        <f>'طبي انګلیسي'!L22</f>
        <v>80</v>
      </c>
      <c r="O27" s="20">
        <f>'عمومي ترمینالوژی'!L22</f>
        <v>77</v>
      </c>
      <c r="P27" s="20">
        <f>اسلامیات!L22</f>
        <v>70</v>
      </c>
      <c r="Q27" s="9" t="s">
        <v>54</v>
      </c>
      <c r="R27" s="9" t="s">
        <v>55</v>
      </c>
      <c r="S27" s="18">
        <v>17</v>
      </c>
    </row>
    <row r="28" spans="1:19">
      <c r="A28" s="7"/>
      <c r="B28" s="7"/>
      <c r="C28" s="8">
        <f t="shared" si="0"/>
        <v>85.5</v>
      </c>
      <c r="D28" s="8">
        <f t="shared" si="1"/>
        <v>1026</v>
      </c>
      <c r="E28" s="16">
        <f>PHC!L23</f>
        <v>90</v>
      </c>
      <c r="F28" s="16">
        <f>مایکروبیولوژی!L23</f>
        <v>92</v>
      </c>
      <c r="G28" s="16">
        <f>'متحرک پروتیز'!L23</f>
        <v>72</v>
      </c>
      <c r="H28" s="16">
        <f>'اناټومي فزیالوژی'!L23</f>
        <v>74</v>
      </c>
      <c r="I28" s="16">
        <f>پتالوژی!L23</f>
        <v>72</v>
      </c>
      <c r="J28" s="16">
        <f>'اختصاصي ترمینالوژی'!L23</f>
        <v>91</v>
      </c>
      <c r="K28" s="16">
        <f>'اختصاصي لابراتوار'!L23</f>
        <v>93</v>
      </c>
      <c r="L28" s="16">
        <f>'سامان پیژندنه'!L23</f>
        <v>95</v>
      </c>
      <c r="M28" s="16">
        <f>مورفولوژی!L23</f>
        <v>93</v>
      </c>
      <c r="N28" s="17">
        <f>'طبي انګلیسي'!L23</f>
        <v>100</v>
      </c>
      <c r="O28" s="17">
        <f>'عمومي ترمینالوژی'!L23</f>
        <v>84</v>
      </c>
      <c r="P28" s="17">
        <f>اسلامیات!L23</f>
        <v>70</v>
      </c>
      <c r="Q28" s="9" t="s">
        <v>56</v>
      </c>
      <c r="R28" s="9" t="s">
        <v>57</v>
      </c>
      <c r="S28" s="18">
        <v>18</v>
      </c>
    </row>
    <row r="29" spans="1:19">
      <c r="A29" s="7"/>
      <c r="B29" s="7"/>
      <c r="C29" s="8">
        <f t="shared" si="0"/>
        <v>85.583333333333329</v>
      </c>
      <c r="D29" s="8">
        <f t="shared" si="1"/>
        <v>1027</v>
      </c>
      <c r="E29" s="16">
        <f>PHC!L24</f>
        <v>77</v>
      </c>
      <c r="F29" s="16">
        <f>مایکروبیولوژی!L24</f>
        <v>86</v>
      </c>
      <c r="G29" s="16">
        <f>'متحرک پروتیز'!L24</f>
        <v>87</v>
      </c>
      <c r="H29" s="16">
        <f>'اناټومي فزیالوژی'!L24</f>
        <v>88</v>
      </c>
      <c r="I29" s="16">
        <f>پتالوژی!L24</f>
        <v>94</v>
      </c>
      <c r="J29" s="16">
        <f>'اختصاصي ترمینالوژی'!L24</f>
        <v>90</v>
      </c>
      <c r="K29" s="16">
        <f>'اختصاصي لابراتوار'!L24</f>
        <v>74</v>
      </c>
      <c r="L29" s="16">
        <f>'سامان پیژندنه'!L24</f>
        <v>96</v>
      </c>
      <c r="M29" s="16">
        <f>مورفولوژی!L24</f>
        <v>82</v>
      </c>
      <c r="N29" s="17">
        <f>'طبي انګلیسي'!L24</f>
        <v>85</v>
      </c>
      <c r="O29" s="17">
        <f>'عمومي ترمینالوژی'!L24</f>
        <v>74</v>
      </c>
      <c r="P29" s="17">
        <f>اسلامیات!L24</f>
        <v>94</v>
      </c>
      <c r="Q29" s="9" t="s">
        <v>58</v>
      </c>
      <c r="R29" s="9" t="s">
        <v>59</v>
      </c>
      <c r="S29" s="18">
        <v>19</v>
      </c>
    </row>
    <row r="30" spans="1:19">
      <c r="A30" s="7"/>
      <c r="B30" s="7"/>
      <c r="C30" s="8" t="e">
        <f t="shared" si="0"/>
        <v>#REF!</v>
      </c>
      <c r="D30" s="8" t="e">
        <f t="shared" si="1"/>
        <v>#REF!</v>
      </c>
      <c r="E30" s="16" t="e">
        <f>PHC!#REF!</f>
        <v>#REF!</v>
      </c>
      <c r="F30" s="16" t="e">
        <f>مایکروبیولوژی!#REF!</f>
        <v>#REF!</v>
      </c>
      <c r="G30" s="16" t="e">
        <f>'متحرک پروتیز'!#REF!</f>
        <v>#REF!</v>
      </c>
      <c r="H30" s="16" t="e">
        <f>'اناټومي فزیالوژی'!#REF!</f>
        <v>#REF!</v>
      </c>
      <c r="I30" s="16" t="e">
        <f>پتالوژی!#REF!</f>
        <v>#REF!</v>
      </c>
      <c r="J30" s="16" t="e">
        <f>'اختصاصي ترمینالوژی'!#REF!</f>
        <v>#REF!</v>
      </c>
      <c r="K30" s="16" t="e">
        <f>'اختصاصي لابراتوار'!#REF!</f>
        <v>#REF!</v>
      </c>
      <c r="L30" s="16" t="e">
        <f>'سامان پیژندنه'!#REF!</f>
        <v>#REF!</v>
      </c>
      <c r="M30" s="16" t="e">
        <f>مورفولوژی!#REF!</f>
        <v>#REF!</v>
      </c>
      <c r="N30" s="17" t="e">
        <f>'طبي انګلیسي'!#REF!</f>
        <v>#REF!</v>
      </c>
      <c r="O30" s="17" t="e">
        <f>'عمومي ترمینالوژی'!#REF!</f>
        <v>#REF!</v>
      </c>
      <c r="P30" s="17" t="e">
        <f>اسلامیات!#REF!</f>
        <v>#REF!</v>
      </c>
      <c r="Q30" s="9" t="s">
        <v>158</v>
      </c>
      <c r="R30" s="9" t="s">
        <v>159</v>
      </c>
      <c r="S30" s="18">
        <v>20</v>
      </c>
    </row>
    <row r="31" spans="1:19">
      <c r="A31" s="7"/>
      <c r="B31" s="7"/>
      <c r="C31" s="8">
        <f t="shared" si="0"/>
        <v>88.25</v>
      </c>
      <c r="D31" s="8">
        <f t="shared" si="1"/>
        <v>1059</v>
      </c>
      <c r="E31" s="16">
        <f>PHC!L27</f>
        <v>84</v>
      </c>
      <c r="F31" s="16">
        <f>مایکروبیولوژی!L27</f>
        <v>84</v>
      </c>
      <c r="G31" s="16">
        <f>'متحرک پروتیز'!L27</f>
        <v>80</v>
      </c>
      <c r="H31" s="16">
        <f>'اناټومي فزیالوژی'!L27</f>
        <v>98</v>
      </c>
      <c r="I31" s="16">
        <f>پتالوژی!L27</f>
        <v>100</v>
      </c>
      <c r="J31" s="16">
        <f>'اختصاصي ترمینالوژی'!L27</f>
        <v>93</v>
      </c>
      <c r="K31" s="16">
        <f>'اختصاصي لابراتوار'!L27</f>
        <v>78</v>
      </c>
      <c r="L31" s="16">
        <f>'سامان پیژندنه'!L27</f>
        <v>90</v>
      </c>
      <c r="M31" s="16">
        <f>مورفولوژی!L27</f>
        <v>94</v>
      </c>
      <c r="N31" s="17">
        <f>'طبي انګلیسي'!L27</f>
        <v>99</v>
      </c>
      <c r="O31" s="17">
        <f>'عمومي ترمینالوژی'!L27</f>
        <v>86</v>
      </c>
      <c r="P31" s="17">
        <f>اسلامیات!L27</f>
        <v>73</v>
      </c>
      <c r="Q31" s="9" t="s">
        <v>54</v>
      </c>
      <c r="R31" s="9" t="s">
        <v>67</v>
      </c>
      <c r="S31" s="18">
        <v>21</v>
      </c>
    </row>
    <row r="32" spans="1:19">
      <c r="A32" s="7"/>
      <c r="B32" s="7"/>
      <c r="C32" s="8" t="e">
        <f t="shared" si="0"/>
        <v>#REF!</v>
      </c>
      <c r="D32" s="8" t="e">
        <f t="shared" si="1"/>
        <v>#REF!</v>
      </c>
      <c r="E32" s="16" t="e">
        <f>PHC!#REF!</f>
        <v>#REF!</v>
      </c>
      <c r="F32" s="16" t="e">
        <f>مایکروبیولوژی!#REF!</f>
        <v>#REF!</v>
      </c>
      <c r="G32" s="16" t="e">
        <f>'متحرک پروتیز'!#REF!</f>
        <v>#REF!</v>
      </c>
      <c r="H32" s="16" t="e">
        <f>'اناټومي فزیالوژی'!#REF!</f>
        <v>#REF!</v>
      </c>
      <c r="I32" s="16" t="e">
        <f>پتالوژی!#REF!</f>
        <v>#REF!</v>
      </c>
      <c r="J32" s="16" t="e">
        <f>'اختصاصي ترمینالوژی'!#REF!</f>
        <v>#REF!</v>
      </c>
      <c r="K32" s="16" t="e">
        <f>'اختصاصي لابراتوار'!#REF!</f>
        <v>#REF!</v>
      </c>
      <c r="L32" s="16" t="e">
        <f>'سامان پیژندنه'!#REF!</f>
        <v>#REF!</v>
      </c>
      <c r="M32" s="16" t="e">
        <f>مورفولوژی!#REF!</f>
        <v>#REF!</v>
      </c>
      <c r="N32" s="17" t="e">
        <f>'طبي انګلیسي'!#REF!</f>
        <v>#REF!</v>
      </c>
      <c r="O32" s="17" t="e">
        <f>'عمومي ترمینالوژی'!#REF!</f>
        <v>#REF!</v>
      </c>
      <c r="P32" s="17" t="e">
        <f>اسلامیات!#REF!</f>
        <v>#REF!</v>
      </c>
      <c r="Q32" s="9" t="s">
        <v>160</v>
      </c>
      <c r="R32" s="9" t="s">
        <v>161</v>
      </c>
      <c r="S32" s="18">
        <v>22</v>
      </c>
    </row>
    <row r="33" spans="1:19">
      <c r="A33" s="7"/>
      <c r="B33" s="7"/>
      <c r="C33" s="8">
        <f t="shared" si="0"/>
        <v>84.166666666666671</v>
      </c>
      <c r="D33" s="8">
        <f t="shared" si="1"/>
        <v>1010</v>
      </c>
      <c r="E33" s="16">
        <f>PHC!L29</f>
        <v>88</v>
      </c>
      <c r="F33" s="16">
        <f>مایکروبیولوژی!L29</f>
        <v>83</v>
      </c>
      <c r="G33" s="16">
        <f>'متحرک پروتیز'!L29</f>
        <v>75</v>
      </c>
      <c r="H33" s="16">
        <f>'اناټومي فزیالوژی'!L29</f>
        <v>94</v>
      </c>
      <c r="I33" s="16">
        <f>پتالوژی!L29</f>
        <v>76</v>
      </c>
      <c r="J33" s="16">
        <f>'اختصاصي ترمینالوژی'!L29</f>
        <v>78</v>
      </c>
      <c r="K33" s="16">
        <f>'اختصاصي لابراتوار'!L29</f>
        <v>93</v>
      </c>
      <c r="L33" s="16">
        <f>'سامان پیژندنه'!L29</f>
        <v>84</v>
      </c>
      <c r="M33" s="16">
        <f>مورفولوژی!L29</f>
        <v>79</v>
      </c>
      <c r="N33" s="17">
        <f>'طبي انګلیسي'!L29</f>
        <v>92</v>
      </c>
      <c r="O33" s="17">
        <f>'عمومي ترمینالوژی'!L29</f>
        <v>80</v>
      </c>
      <c r="P33" s="17">
        <f>اسلامیات!L29</f>
        <v>88</v>
      </c>
      <c r="Q33" s="9" t="s">
        <v>70</v>
      </c>
      <c r="R33" s="9" t="s">
        <v>71</v>
      </c>
      <c r="S33" s="18">
        <v>23</v>
      </c>
    </row>
    <row r="34" spans="1:19">
      <c r="A34" s="7"/>
      <c r="B34" s="7"/>
      <c r="C34" s="8">
        <f t="shared" si="0"/>
        <v>88.416666666666671</v>
      </c>
      <c r="D34" s="8">
        <f t="shared" si="1"/>
        <v>1061</v>
      </c>
      <c r="E34" s="16">
        <f>PHC!L30</f>
        <v>94</v>
      </c>
      <c r="F34" s="16">
        <f>مایکروبیولوژی!L30</f>
        <v>92</v>
      </c>
      <c r="G34" s="16">
        <f>'متحرک پروتیز'!L30</f>
        <v>92</v>
      </c>
      <c r="H34" s="16">
        <f>'اناټومي فزیالوژی'!L30</f>
        <v>82</v>
      </c>
      <c r="I34" s="16">
        <f>پتالوژی!L30</f>
        <v>99</v>
      </c>
      <c r="J34" s="16">
        <f>'اختصاصي ترمینالوژی'!L30</f>
        <v>76</v>
      </c>
      <c r="K34" s="16">
        <f>'اختصاصي لابراتوار'!L30</f>
        <v>90</v>
      </c>
      <c r="L34" s="16">
        <f>'سامان پیژندنه'!L30</f>
        <v>80</v>
      </c>
      <c r="M34" s="16">
        <f>مورفولوژی!L30</f>
        <v>86</v>
      </c>
      <c r="N34" s="17">
        <f>'طبي انګلیسي'!L30</f>
        <v>99</v>
      </c>
      <c r="O34" s="17">
        <f>'عمومي ترمینالوژی'!L30</f>
        <v>84</v>
      </c>
      <c r="P34" s="17">
        <f>اسلامیات!L30</f>
        <v>87</v>
      </c>
      <c r="Q34" s="9" t="s">
        <v>72</v>
      </c>
      <c r="R34" s="9" t="s">
        <v>73</v>
      </c>
      <c r="S34" s="18">
        <v>24</v>
      </c>
    </row>
    <row r="35" spans="1:19">
      <c r="A35" s="7"/>
      <c r="B35" s="7"/>
      <c r="C35" s="8" t="e">
        <f t="shared" si="0"/>
        <v>#REF!</v>
      </c>
      <c r="D35" s="8" t="e">
        <f t="shared" si="1"/>
        <v>#REF!</v>
      </c>
      <c r="E35" s="16" t="e">
        <f>PHC!#REF!</f>
        <v>#REF!</v>
      </c>
      <c r="F35" s="16" t="e">
        <f>مایکروبیولوژی!#REF!</f>
        <v>#REF!</v>
      </c>
      <c r="G35" s="16" t="e">
        <f>'متحرک پروتیز'!#REF!</f>
        <v>#REF!</v>
      </c>
      <c r="H35" s="16" t="e">
        <f>'اناټومي فزیالوژی'!#REF!</f>
        <v>#REF!</v>
      </c>
      <c r="I35" s="16" t="e">
        <f>پتالوژی!#REF!</f>
        <v>#REF!</v>
      </c>
      <c r="J35" s="16" t="e">
        <f>'اختصاصي ترمینالوژی'!#REF!</f>
        <v>#REF!</v>
      </c>
      <c r="K35" s="16" t="e">
        <f>'اختصاصي لابراتوار'!#REF!</f>
        <v>#REF!</v>
      </c>
      <c r="L35" s="16" t="e">
        <f>'سامان پیژندنه'!#REF!</f>
        <v>#REF!</v>
      </c>
      <c r="M35" s="16" t="e">
        <f>مورفولوژی!#REF!</f>
        <v>#REF!</v>
      </c>
      <c r="N35" s="17" t="e">
        <f>'طبي انګلیسي'!#REF!</f>
        <v>#REF!</v>
      </c>
      <c r="O35" s="17" t="e">
        <f>'عمومي ترمینالوژی'!#REF!</f>
        <v>#REF!</v>
      </c>
      <c r="P35" s="17" t="e">
        <f>اسلامیات!#REF!</f>
        <v>#REF!</v>
      </c>
      <c r="Q35" s="9" t="s">
        <v>70</v>
      </c>
      <c r="R35" s="9" t="s">
        <v>162</v>
      </c>
      <c r="S35" s="18">
        <v>25</v>
      </c>
    </row>
    <row r="36" spans="1:19">
      <c r="A36" s="7"/>
      <c r="B36" s="7"/>
      <c r="C36" s="8" t="e">
        <f t="shared" si="0"/>
        <v>#REF!</v>
      </c>
      <c r="D36" s="8" t="e">
        <f t="shared" si="1"/>
        <v>#REF!</v>
      </c>
      <c r="E36" s="16" t="e">
        <f>PHC!#REF!</f>
        <v>#REF!</v>
      </c>
      <c r="F36" s="16" t="e">
        <f>مایکروبیولوژی!#REF!</f>
        <v>#REF!</v>
      </c>
      <c r="G36" s="16" t="e">
        <f>'متحرک پروتیز'!#REF!</f>
        <v>#REF!</v>
      </c>
      <c r="H36" s="16" t="e">
        <f>'اناټومي فزیالوژی'!#REF!</f>
        <v>#REF!</v>
      </c>
      <c r="I36" s="16" t="e">
        <f>پتالوژی!#REF!</f>
        <v>#REF!</v>
      </c>
      <c r="J36" s="16" t="e">
        <f>'اختصاصي ترمینالوژی'!#REF!</f>
        <v>#REF!</v>
      </c>
      <c r="K36" s="16" t="e">
        <f>'اختصاصي لابراتوار'!#REF!</f>
        <v>#REF!</v>
      </c>
      <c r="L36" s="16" t="e">
        <f>'سامان پیژندنه'!#REF!</f>
        <v>#REF!</v>
      </c>
      <c r="M36" s="16" t="e">
        <f>مورفولوژی!#REF!</f>
        <v>#REF!</v>
      </c>
      <c r="N36" s="17" t="e">
        <f>'طبي انګلیسي'!#REF!</f>
        <v>#REF!</v>
      </c>
      <c r="O36" s="17" t="e">
        <f>'عمومي ترمینالوژی'!#REF!</f>
        <v>#REF!</v>
      </c>
      <c r="P36" s="17" t="e">
        <f>اسلامیات!#REF!</f>
        <v>#REF!</v>
      </c>
      <c r="Q36" s="9" t="s">
        <v>72</v>
      </c>
      <c r="R36" s="9" t="s">
        <v>73</v>
      </c>
      <c r="S36" s="18">
        <v>26</v>
      </c>
    </row>
    <row r="37" spans="1:19">
      <c r="A37" s="7"/>
      <c r="B37" s="7"/>
      <c r="C37" s="8" t="e">
        <f t="shared" si="0"/>
        <v>#REF!</v>
      </c>
      <c r="D37" s="8" t="e">
        <f t="shared" si="1"/>
        <v>#REF!</v>
      </c>
      <c r="E37" s="16" t="e">
        <f>PHC!#REF!</f>
        <v>#REF!</v>
      </c>
      <c r="F37" s="16" t="e">
        <f>مایکروبیولوژی!#REF!</f>
        <v>#REF!</v>
      </c>
      <c r="G37" s="16" t="e">
        <f>'متحرک پروتیز'!#REF!</f>
        <v>#REF!</v>
      </c>
      <c r="H37" s="16" t="e">
        <f>'اناټومي فزیالوژی'!#REF!</f>
        <v>#REF!</v>
      </c>
      <c r="I37" s="16" t="e">
        <f>پتالوژی!#REF!</f>
        <v>#REF!</v>
      </c>
      <c r="J37" s="16" t="e">
        <f>'اختصاصي ترمینالوژی'!#REF!</f>
        <v>#REF!</v>
      </c>
      <c r="K37" s="16" t="e">
        <f>'اختصاصي لابراتوار'!#REF!</f>
        <v>#REF!</v>
      </c>
      <c r="L37" s="16" t="e">
        <f>'سامان پیژندنه'!#REF!</f>
        <v>#REF!</v>
      </c>
      <c r="M37" s="16" t="e">
        <f>مورفولوژی!#REF!</f>
        <v>#REF!</v>
      </c>
      <c r="N37" s="17" t="e">
        <f>'طبي انګلیسي'!#REF!</f>
        <v>#REF!</v>
      </c>
      <c r="O37" s="17" t="e">
        <f>'عمومي ترمینالوژی'!#REF!</f>
        <v>#REF!</v>
      </c>
      <c r="P37" s="17" t="e">
        <f>اسلامیات!#REF!</f>
        <v>#REF!</v>
      </c>
      <c r="Q37" s="9" t="s">
        <v>163</v>
      </c>
      <c r="R37" s="9" t="s">
        <v>164</v>
      </c>
      <c r="S37" s="18">
        <v>27</v>
      </c>
    </row>
    <row r="38" spans="1:19">
      <c r="A38" s="7"/>
      <c r="B38" s="7"/>
      <c r="C38" s="8">
        <f t="shared" si="0"/>
        <v>0</v>
      </c>
      <c r="D38" s="8">
        <f t="shared" si="1"/>
        <v>0</v>
      </c>
      <c r="E38" s="16">
        <f>PHC!L31</f>
        <v>0</v>
      </c>
      <c r="F38" s="16">
        <f>مایکروبیولوژی!L31</f>
        <v>0</v>
      </c>
      <c r="G38" s="16">
        <f>'متحرک پروتیز'!L31</f>
        <v>0</v>
      </c>
      <c r="H38" s="16">
        <f>'اناټومي فزیالوژی'!L31</f>
        <v>0</v>
      </c>
      <c r="I38" s="16">
        <f>پتالوژی!L31</f>
        <v>0</v>
      </c>
      <c r="J38" s="16">
        <f>'اختصاصي ترمینالوژی'!L31</f>
        <v>0</v>
      </c>
      <c r="K38" s="16">
        <f>'اختصاصي لابراتوار'!L31</f>
        <v>0</v>
      </c>
      <c r="L38" s="16">
        <f>'سامان پیژندنه'!L31</f>
        <v>0</v>
      </c>
      <c r="M38" s="16">
        <f>مورفولوژی!L31</f>
        <v>0</v>
      </c>
      <c r="N38" s="17">
        <f>'طبي انګلیسي'!L31</f>
        <v>0</v>
      </c>
      <c r="O38" s="17">
        <f>'عمومي ترمینالوژی'!L31</f>
        <v>0</v>
      </c>
      <c r="P38" s="17">
        <f>اسلامیات!L31</f>
        <v>0</v>
      </c>
      <c r="Q38" s="9"/>
      <c r="R38" s="9"/>
      <c r="S38" s="18">
        <v>28</v>
      </c>
    </row>
    <row r="39" spans="1:19">
      <c r="A39" s="7"/>
      <c r="B39" s="7"/>
      <c r="C39" s="8">
        <f t="shared" si="0"/>
        <v>0</v>
      </c>
      <c r="D39" s="8">
        <f t="shared" si="1"/>
        <v>0</v>
      </c>
      <c r="E39" s="16">
        <f>PHC!L32</f>
        <v>0</v>
      </c>
      <c r="F39" s="16">
        <f>مایکروبیولوژی!L32</f>
        <v>0</v>
      </c>
      <c r="G39" s="16">
        <f>'متحرک پروتیز'!L32</f>
        <v>0</v>
      </c>
      <c r="H39" s="16">
        <f>'اناټومي فزیالوژی'!L32</f>
        <v>0</v>
      </c>
      <c r="I39" s="16">
        <f>پتالوژی!L32</f>
        <v>0</v>
      </c>
      <c r="J39" s="16">
        <f>'اختصاصي ترمینالوژی'!L32</f>
        <v>0</v>
      </c>
      <c r="K39" s="16">
        <f>'اختصاصي لابراتوار'!L32</f>
        <v>0</v>
      </c>
      <c r="L39" s="16">
        <f>'سامان پیژندنه'!L32</f>
        <v>0</v>
      </c>
      <c r="M39" s="16">
        <f>مورفولوژی!L32</f>
        <v>0</v>
      </c>
      <c r="N39" s="17">
        <f>'طبي انګلیسي'!L32</f>
        <v>0</v>
      </c>
      <c r="O39" s="17">
        <f>'عمومي ترمینالوژی'!L32</f>
        <v>0</v>
      </c>
      <c r="P39" s="17">
        <f>اسلامیات!L32</f>
        <v>0</v>
      </c>
      <c r="Q39" s="9"/>
      <c r="R39" s="9"/>
      <c r="S39" s="18">
        <v>29</v>
      </c>
    </row>
    <row r="40" spans="1:19" ht="18.5">
      <c r="A40" s="7"/>
      <c r="B40" s="7"/>
      <c r="C40" s="8">
        <f t="shared" si="0"/>
        <v>0</v>
      </c>
      <c r="D40" s="8">
        <f t="shared" si="1"/>
        <v>0</v>
      </c>
      <c r="E40" s="16">
        <f>PHC!L33</f>
        <v>0</v>
      </c>
      <c r="F40" s="16">
        <f>مایکروبیولوژی!L33</f>
        <v>0</v>
      </c>
      <c r="G40" s="16">
        <f>'متحرک پروتیز'!L33</f>
        <v>0</v>
      </c>
      <c r="H40" s="16">
        <f>'اناټومي فزیالوژی'!L33</f>
        <v>0</v>
      </c>
      <c r="I40" s="16">
        <f>پتالوژی!L33</f>
        <v>0</v>
      </c>
      <c r="J40" s="16">
        <f>'اختصاصي ترمینالوژی'!L33</f>
        <v>0</v>
      </c>
      <c r="K40" s="16">
        <f>'اختصاصي لابراتوار'!L33</f>
        <v>0</v>
      </c>
      <c r="L40" s="16">
        <f>'سامان پیژندنه'!L33</f>
        <v>0</v>
      </c>
      <c r="M40" s="16">
        <f>مورفولوژی!L33</f>
        <v>0</v>
      </c>
      <c r="N40" s="17">
        <f>'طبي انګلیسي'!L33</f>
        <v>0</v>
      </c>
      <c r="O40" s="17">
        <f>'عمومي ترمینالوژی'!L33</f>
        <v>0</v>
      </c>
      <c r="P40" s="17">
        <f>اسلامیات!L33</f>
        <v>0</v>
      </c>
      <c r="Q40" s="10"/>
      <c r="R40" s="10"/>
      <c r="S40" s="18">
        <v>30</v>
      </c>
    </row>
    <row r="41" spans="1:19" ht="18.5">
      <c r="A41" s="7"/>
      <c r="B41" s="7"/>
      <c r="C41" s="8">
        <f t="shared" si="0"/>
        <v>0</v>
      </c>
      <c r="D41" s="8">
        <f t="shared" si="1"/>
        <v>0</v>
      </c>
      <c r="E41" s="16">
        <f>PHC!L34</f>
        <v>0</v>
      </c>
      <c r="F41" s="16">
        <f>مایکروبیولوژی!L34</f>
        <v>0</v>
      </c>
      <c r="G41" s="16">
        <f>'متحرک پروتیز'!L34</f>
        <v>0</v>
      </c>
      <c r="H41" s="16">
        <f>'اناټومي فزیالوژی'!L34</f>
        <v>0</v>
      </c>
      <c r="I41" s="16">
        <f>پتالوژی!L34</f>
        <v>0</v>
      </c>
      <c r="J41" s="16">
        <f>'اختصاصي ترمینالوژی'!L34</f>
        <v>0</v>
      </c>
      <c r="K41" s="16">
        <f>'اختصاصي لابراتوار'!L34</f>
        <v>0</v>
      </c>
      <c r="L41" s="16">
        <f>'سامان پیژندنه'!L34</f>
        <v>0</v>
      </c>
      <c r="M41" s="16">
        <f>مورفولوژی!L34</f>
        <v>0</v>
      </c>
      <c r="N41" s="17">
        <f>'طبي انګلیسي'!L34</f>
        <v>0</v>
      </c>
      <c r="O41" s="17">
        <f>'عمومي ترمینالوژی'!L34</f>
        <v>0</v>
      </c>
      <c r="P41" s="17">
        <f>اسلامیات!L34</f>
        <v>0</v>
      </c>
      <c r="Q41" s="10"/>
      <c r="R41" s="10"/>
      <c r="S41" s="18">
        <v>31</v>
      </c>
    </row>
    <row r="42" spans="1:19" ht="18.5">
      <c r="A42" s="7"/>
      <c r="B42" s="7"/>
      <c r="C42" s="8">
        <f t="shared" si="0"/>
        <v>0</v>
      </c>
      <c r="D42" s="8">
        <f t="shared" si="1"/>
        <v>0</v>
      </c>
      <c r="E42" s="16">
        <f>PHC!L35</f>
        <v>0</v>
      </c>
      <c r="F42" s="16">
        <f>مایکروبیولوژی!L35</f>
        <v>0</v>
      </c>
      <c r="G42" s="16">
        <f>'متحرک پروتیز'!L35</f>
        <v>0</v>
      </c>
      <c r="H42" s="16">
        <f>'اناټومي فزیالوژی'!L35</f>
        <v>0</v>
      </c>
      <c r="I42" s="16">
        <f>پتالوژی!L35</f>
        <v>0</v>
      </c>
      <c r="J42" s="16">
        <f>'اختصاصي ترمینالوژی'!L35</f>
        <v>0</v>
      </c>
      <c r="K42" s="16">
        <f>'اختصاصي لابراتوار'!L35</f>
        <v>0</v>
      </c>
      <c r="L42" s="16">
        <f>'سامان پیژندنه'!L35</f>
        <v>0</v>
      </c>
      <c r="M42" s="16">
        <f>مورفولوژی!L35</f>
        <v>0</v>
      </c>
      <c r="N42" s="17">
        <f>'طبي انګلیسي'!L35</f>
        <v>0</v>
      </c>
      <c r="O42" s="17">
        <f>'عمومي ترمینالوژی'!L35</f>
        <v>0</v>
      </c>
      <c r="P42" s="17">
        <f>اسلامیات!L35</f>
        <v>0</v>
      </c>
      <c r="Q42" s="10"/>
      <c r="R42" s="10"/>
      <c r="S42" s="18">
        <v>32</v>
      </c>
    </row>
    <row r="43" spans="1:19" ht="18.5">
      <c r="A43" s="7"/>
      <c r="B43" s="7"/>
      <c r="C43" s="8">
        <f t="shared" si="0"/>
        <v>0</v>
      </c>
      <c r="D43" s="8">
        <f t="shared" si="1"/>
        <v>0</v>
      </c>
      <c r="E43" s="16">
        <f>PHC!L36</f>
        <v>0</v>
      </c>
      <c r="F43" s="16">
        <f>مایکروبیولوژی!L36</f>
        <v>0</v>
      </c>
      <c r="G43" s="16">
        <f>'متحرک پروتیز'!L36</f>
        <v>0</v>
      </c>
      <c r="H43" s="16">
        <f>'اناټومي فزیالوژی'!L36</f>
        <v>0</v>
      </c>
      <c r="I43" s="16">
        <f>پتالوژی!L36</f>
        <v>0</v>
      </c>
      <c r="J43" s="16">
        <f>'اختصاصي ترمینالوژی'!L36</f>
        <v>0</v>
      </c>
      <c r="K43" s="16">
        <f>'اختصاصي لابراتوار'!L36</f>
        <v>0</v>
      </c>
      <c r="L43" s="16">
        <f>'سامان پیژندنه'!L36</f>
        <v>0</v>
      </c>
      <c r="M43" s="16">
        <f>مورفولوژی!L36</f>
        <v>0</v>
      </c>
      <c r="N43" s="17">
        <f>'طبي انګلیسي'!L36</f>
        <v>0</v>
      </c>
      <c r="O43" s="17">
        <f>'عمومي ترمینالوژی'!L36</f>
        <v>0</v>
      </c>
      <c r="P43" s="17">
        <f>اسلامیات!L36</f>
        <v>0</v>
      </c>
      <c r="Q43" s="10"/>
      <c r="R43" s="10"/>
      <c r="S43" s="18">
        <v>33</v>
      </c>
    </row>
    <row r="44" spans="1:19">
      <c r="A44" s="7"/>
      <c r="B44" s="7"/>
      <c r="C44" s="8">
        <f t="shared" si="0"/>
        <v>0</v>
      </c>
      <c r="D44" s="8">
        <f t="shared" si="1"/>
        <v>0</v>
      </c>
      <c r="E44" s="16">
        <f>PHC!L37</f>
        <v>0</v>
      </c>
      <c r="F44" s="16">
        <f>مایکروبیولوژی!L37</f>
        <v>0</v>
      </c>
      <c r="G44" s="16">
        <f>'متحرک پروتیز'!L37</f>
        <v>0</v>
      </c>
      <c r="H44" s="16">
        <f>'اناټومي فزیالوژی'!L37</f>
        <v>0</v>
      </c>
      <c r="I44" s="16">
        <f>پتالوژی!L37</f>
        <v>0</v>
      </c>
      <c r="J44" s="16">
        <f>'اختصاصي ترمینالوژی'!L37</f>
        <v>0</v>
      </c>
      <c r="K44" s="16">
        <f>'اختصاصي لابراتوار'!L37</f>
        <v>0</v>
      </c>
      <c r="L44" s="16">
        <f>'سامان پیژندنه'!L37</f>
        <v>0</v>
      </c>
      <c r="M44" s="16">
        <f>مورفولوژی!L37</f>
        <v>0</v>
      </c>
      <c r="N44" s="17">
        <f>'طبي انګلیسي'!L37</f>
        <v>0</v>
      </c>
      <c r="O44" s="17">
        <f>'عمومي ترمینالوژی'!L37</f>
        <v>0</v>
      </c>
      <c r="P44" s="17">
        <f>اسلامیات!L37</f>
        <v>0</v>
      </c>
      <c r="Q44" s="9"/>
      <c r="R44" s="9"/>
      <c r="S44" s="18">
        <v>34</v>
      </c>
    </row>
    <row r="45" spans="1:19">
      <c r="A45" s="7"/>
      <c r="B45" s="7"/>
      <c r="C45" s="8">
        <f t="shared" si="0"/>
        <v>0</v>
      </c>
      <c r="D45" s="8">
        <f t="shared" si="1"/>
        <v>0</v>
      </c>
      <c r="E45" s="16">
        <f>PHC!L38</f>
        <v>0</v>
      </c>
      <c r="F45" s="16">
        <f>مایکروبیولوژی!L38</f>
        <v>0</v>
      </c>
      <c r="G45" s="16">
        <f>'متحرک پروتیز'!L38</f>
        <v>0</v>
      </c>
      <c r="H45" s="16">
        <f>'اناټومي فزیالوژی'!L38</f>
        <v>0</v>
      </c>
      <c r="I45" s="16">
        <f>پتالوژی!L38</f>
        <v>0</v>
      </c>
      <c r="J45" s="16">
        <f>'اختصاصي ترمینالوژی'!L38</f>
        <v>0</v>
      </c>
      <c r="K45" s="16">
        <f>'اختصاصي لابراتوار'!L38</f>
        <v>0</v>
      </c>
      <c r="L45" s="16">
        <f>'سامان پیژندنه'!L38</f>
        <v>0</v>
      </c>
      <c r="M45" s="16">
        <f>مورفولوژی!L38</f>
        <v>0</v>
      </c>
      <c r="N45" s="17">
        <f>'طبي انګلیسي'!L38</f>
        <v>0</v>
      </c>
      <c r="O45" s="17">
        <f>'عمومي ترمینالوژی'!L38</f>
        <v>0</v>
      </c>
      <c r="P45" s="17">
        <f>اسلامیات!L38</f>
        <v>0</v>
      </c>
      <c r="Q45" s="9"/>
      <c r="R45" s="9"/>
      <c r="S45" s="18">
        <v>35</v>
      </c>
    </row>
    <row r="46" spans="1:19">
      <c r="A46" s="7"/>
      <c r="B46" s="7"/>
      <c r="C46" s="8">
        <f t="shared" si="0"/>
        <v>0</v>
      </c>
      <c r="D46" s="8">
        <f t="shared" si="1"/>
        <v>0</v>
      </c>
      <c r="E46" s="16">
        <f>PHC!L39</f>
        <v>0</v>
      </c>
      <c r="F46" s="16">
        <f>مایکروبیولوژی!L39</f>
        <v>0</v>
      </c>
      <c r="G46" s="16">
        <f>'متحرک پروتیز'!L39</f>
        <v>0</v>
      </c>
      <c r="H46" s="16">
        <f>'اناټومي فزیالوژی'!L39</f>
        <v>0</v>
      </c>
      <c r="I46" s="16">
        <f>پتالوژی!L39</f>
        <v>0</v>
      </c>
      <c r="J46" s="16">
        <f>'اختصاصي ترمینالوژی'!L39</f>
        <v>0</v>
      </c>
      <c r="K46" s="16">
        <f>'اختصاصي لابراتوار'!L39</f>
        <v>0</v>
      </c>
      <c r="L46" s="16">
        <f>'سامان پیژندنه'!L39</f>
        <v>0</v>
      </c>
      <c r="M46" s="16">
        <f>مورفولوژی!L39</f>
        <v>0</v>
      </c>
      <c r="N46" s="17">
        <f>'طبي انګلیسي'!L39</f>
        <v>0</v>
      </c>
      <c r="O46" s="17">
        <f>'عمومي ترمینالوژی'!L39</f>
        <v>0</v>
      </c>
      <c r="P46" s="17">
        <f>اسلامیات!L39</f>
        <v>0</v>
      </c>
      <c r="Q46" s="9"/>
      <c r="R46" s="9"/>
      <c r="S46" s="18">
        <v>36</v>
      </c>
    </row>
    <row r="47" spans="1:19">
      <c r="A47" s="7"/>
      <c r="B47" s="7"/>
      <c r="C47" s="8">
        <f t="shared" si="0"/>
        <v>0</v>
      </c>
      <c r="D47" s="8">
        <f t="shared" si="1"/>
        <v>0</v>
      </c>
      <c r="E47" s="16">
        <f>PHC!L40</f>
        <v>0</v>
      </c>
      <c r="F47" s="16">
        <f>مایکروبیولوژی!L40</f>
        <v>0</v>
      </c>
      <c r="G47" s="16">
        <f>'متحرک پروتیز'!L40</f>
        <v>0</v>
      </c>
      <c r="H47" s="16">
        <f>'اناټومي فزیالوژی'!L40</f>
        <v>0</v>
      </c>
      <c r="I47" s="16">
        <f>پتالوژی!L40</f>
        <v>0</v>
      </c>
      <c r="J47" s="16">
        <f>'اختصاصي ترمینالوژی'!L40</f>
        <v>0</v>
      </c>
      <c r="K47" s="16">
        <f>'اختصاصي لابراتوار'!L40</f>
        <v>0</v>
      </c>
      <c r="L47" s="16">
        <f>'سامان پیژندنه'!L40</f>
        <v>0</v>
      </c>
      <c r="M47" s="16">
        <f>مورفولوژی!L40</f>
        <v>0</v>
      </c>
      <c r="N47" s="17">
        <f>'طبي انګلیسي'!L40</f>
        <v>0</v>
      </c>
      <c r="O47" s="17">
        <f>'عمومي ترمینالوژی'!L40</f>
        <v>0</v>
      </c>
      <c r="P47" s="17">
        <f>اسلامیات!L40</f>
        <v>0</v>
      </c>
      <c r="Q47" s="9"/>
      <c r="R47" s="9"/>
      <c r="S47" s="18">
        <v>37</v>
      </c>
    </row>
    <row r="48" spans="1:19">
      <c r="A48" s="7"/>
      <c r="B48" s="7"/>
      <c r="C48" s="8">
        <f t="shared" si="0"/>
        <v>0</v>
      </c>
      <c r="D48" s="8">
        <f t="shared" si="1"/>
        <v>0</v>
      </c>
      <c r="E48" s="16">
        <f>PHC!L41</f>
        <v>0</v>
      </c>
      <c r="F48" s="16">
        <f>مایکروبیولوژی!L41</f>
        <v>0</v>
      </c>
      <c r="G48" s="16">
        <f>'متحرک پروتیز'!L41</f>
        <v>0</v>
      </c>
      <c r="H48" s="16">
        <f>'اناټومي فزیالوژی'!L41</f>
        <v>0</v>
      </c>
      <c r="I48" s="16">
        <f>پتالوژی!L41</f>
        <v>0</v>
      </c>
      <c r="J48" s="16">
        <f>'اختصاصي ترمینالوژی'!L41</f>
        <v>0</v>
      </c>
      <c r="K48" s="16">
        <f>'اختصاصي لابراتوار'!L41</f>
        <v>0</v>
      </c>
      <c r="L48" s="16">
        <f>'سامان پیژندنه'!L41</f>
        <v>0</v>
      </c>
      <c r="M48" s="16">
        <f>مورفولوژی!L41</f>
        <v>0</v>
      </c>
      <c r="N48" s="17">
        <f>'طبي انګلیسي'!L41</f>
        <v>0</v>
      </c>
      <c r="O48" s="17">
        <f>'عمومي ترمینالوژی'!L41</f>
        <v>0</v>
      </c>
      <c r="P48" s="17">
        <f>اسلامیات!L41</f>
        <v>0</v>
      </c>
      <c r="Q48" s="9"/>
      <c r="R48" s="9"/>
      <c r="S48" s="18">
        <v>38</v>
      </c>
    </row>
  </sheetData>
  <autoFilter ref="A10:S10">
    <sortState ref="A11:S11">
      <sortCondition descending="1" ref="J10:J11"/>
    </sortState>
  </autoFilter>
  <mergeCells count="12">
    <mergeCell ref="A1:S1"/>
    <mergeCell ref="A2:S2"/>
    <mergeCell ref="A3:S3"/>
    <mergeCell ref="A4:S4"/>
    <mergeCell ref="A5:S5"/>
    <mergeCell ref="A7:S7"/>
    <mergeCell ref="A8:A9"/>
    <mergeCell ref="B8:B9"/>
    <mergeCell ref="C8:D8"/>
    <mergeCell ref="E8:P8"/>
    <mergeCell ref="Q8:R8"/>
    <mergeCell ref="S8:S9"/>
  </mergeCells>
  <conditionalFormatting sqref="E11:P48">
    <cfRule type="cellIs" dxfId="0" priority="2" operator="lessThan">
      <formula>50</formula>
    </cfRule>
  </conditionalFormatting>
  <pageMargins left="8.3333333333333301E-2" right="7.2916666666666699E-2" top="0.15625" bottom="0.114583333333333" header="0.511811023622047" footer="0.511811023622047"/>
  <pageSetup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14</vt:i4>
      </vt:variant>
    </vt:vector>
  </HeadingPairs>
  <TitlesOfParts>
    <vt:vector size="28" baseType="lpstr">
      <vt:lpstr>اسلامیات</vt:lpstr>
      <vt:lpstr>عمومي ترمینالوژی</vt:lpstr>
      <vt:lpstr>طبي انګلیسي</vt:lpstr>
      <vt:lpstr>مورفولوژی</vt:lpstr>
      <vt:lpstr>سامان پیژندنه</vt:lpstr>
      <vt:lpstr>اختصاصي لابراتوار</vt:lpstr>
      <vt:lpstr>اختصاصي ترمینالوژی</vt:lpstr>
      <vt:lpstr>پتالوژی</vt:lpstr>
      <vt:lpstr>اناټومي فزیالوژی</vt:lpstr>
      <vt:lpstr>متحرک پروتیز</vt:lpstr>
      <vt:lpstr>مایکروبیولوژی</vt:lpstr>
      <vt:lpstr>PHC</vt:lpstr>
      <vt:lpstr>نتایج</vt:lpstr>
      <vt:lpstr>فلتر شوی</vt:lpstr>
      <vt:lpstr>PHC!Print_Titles</vt:lpstr>
      <vt:lpstr>'اختصاصي ترمینالوژی'!Print_Titles</vt:lpstr>
      <vt:lpstr>'اختصاصي لابراتوار'!Print_Titles</vt:lpstr>
      <vt:lpstr>اسلامیات!Print_Titles</vt:lpstr>
      <vt:lpstr>'اناټومي فزیالوژی'!Print_Titles</vt:lpstr>
      <vt:lpstr>پتالوژی!Print_Titles</vt:lpstr>
      <vt:lpstr>'سامان پیژندنه'!Print_Titles</vt:lpstr>
      <vt:lpstr>'طبي انګلیسي'!Print_Titles</vt:lpstr>
      <vt:lpstr>'عمومي ترمینالوژی'!Print_Titles</vt:lpstr>
      <vt:lpstr>'فلتر شوی'!Print_Titles</vt:lpstr>
      <vt:lpstr>مایکروبیولوژی!Print_Titles</vt:lpstr>
      <vt:lpstr>'متحرک پروتیز'!Print_Titles</vt:lpstr>
      <vt:lpstr>مورفولوژی!Print_Titles</vt:lpstr>
      <vt:lpstr>نتایج!Print_Titles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SSKHAN</dc:creator>
  <dc:description/>
  <cp:lastModifiedBy>Amal sadat</cp:lastModifiedBy>
  <cp:revision>0</cp:revision>
  <cp:lastPrinted>2026-05-02T05:17:46Z</cp:lastPrinted>
  <dcterms:created xsi:type="dcterms:W3CDTF">2023-05-12T10:24:38Z</dcterms:created>
  <dcterms:modified xsi:type="dcterms:W3CDTF">2026-05-18T10:30:34Z</dcterms:modified>
  <dc:language>en-US</dc:language>
</cp:coreProperties>
</file>